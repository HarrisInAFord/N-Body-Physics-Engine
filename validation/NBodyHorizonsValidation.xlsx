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8d4c7985323a22/Desktop/"/>
    </mc:Choice>
  </mc:AlternateContent>
  <xr:revisionPtr revIDLastSave="0" documentId="8_{F86734F3-1F92-4603-BB9D-37AC289AB66C}" xr6:coauthVersionLast="47" xr6:coauthVersionMax="47" xr10:uidLastSave="{00000000-0000-0000-0000-000000000000}"/>
  <bookViews>
    <workbookView xWindow="-108" yWindow="-108" windowWidth="23256" windowHeight="14616" xr2:uid="{496698BC-1013-48B2-9328-2E0F68A48E04}"/>
  </bookViews>
  <sheets>
    <sheet name="horizons_error_log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J3" i="1"/>
  <c r="K3" i="1"/>
  <c r="L3" i="1"/>
  <c r="M3" i="1"/>
  <c r="N3" i="1"/>
  <c r="O3" i="1"/>
  <c r="P3" i="1"/>
  <c r="Q3" i="1"/>
  <c r="J4" i="1"/>
  <c r="K4" i="1"/>
  <c r="L4" i="1"/>
  <c r="M4" i="1"/>
  <c r="N4" i="1"/>
  <c r="O4" i="1"/>
  <c r="P4" i="1"/>
  <c r="Q4" i="1"/>
  <c r="J5" i="1"/>
  <c r="K5" i="1"/>
  <c r="L5" i="1"/>
  <c r="M5" i="1"/>
  <c r="N5" i="1"/>
  <c r="O5" i="1"/>
  <c r="P5" i="1"/>
  <c r="Q5" i="1"/>
  <c r="J6" i="1"/>
  <c r="K6" i="1"/>
  <c r="L6" i="1"/>
  <c r="M6" i="1"/>
  <c r="N6" i="1"/>
  <c r="O6" i="1"/>
  <c r="P6" i="1"/>
  <c r="Q6" i="1"/>
  <c r="J7" i="1"/>
  <c r="K7" i="1"/>
  <c r="L7" i="1"/>
  <c r="M7" i="1"/>
  <c r="N7" i="1"/>
  <c r="O7" i="1"/>
  <c r="P7" i="1"/>
  <c r="Q7" i="1"/>
  <c r="J8" i="1"/>
  <c r="K8" i="1"/>
  <c r="L8" i="1"/>
  <c r="M8" i="1"/>
  <c r="N8" i="1"/>
  <c r="O8" i="1"/>
  <c r="P8" i="1"/>
  <c r="Q8" i="1"/>
  <c r="J9" i="1"/>
  <c r="K9" i="1"/>
  <c r="L9" i="1"/>
  <c r="M9" i="1"/>
  <c r="N9" i="1"/>
  <c r="O9" i="1"/>
  <c r="P9" i="1"/>
  <c r="Q9" i="1"/>
  <c r="J10" i="1"/>
  <c r="K10" i="1"/>
  <c r="L10" i="1"/>
  <c r="M10" i="1"/>
  <c r="N10" i="1"/>
  <c r="O10" i="1"/>
  <c r="P10" i="1"/>
  <c r="Q10" i="1"/>
  <c r="J11" i="1"/>
  <c r="K11" i="1"/>
  <c r="L11" i="1"/>
  <c r="M11" i="1"/>
  <c r="N11" i="1"/>
  <c r="O11" i="1"/>
  <c r="P11" i="1"/>
  <c r="Q11" i="1"/>
  <c r="J12" i="1"/>
  <c r="K12" i="1"/>
  <c r="L12" i="1"/>
  <c r="M12" i="1"/>
  <c r="N12" i="1"/>
  <c r="O12" i="1"/>
  <c r="P12" i="1"/>
  <c r="Q12" i="1"/>
  <c r="J13" i="1"/>
  <c r="K13" i="1"/>
  <c r="L13" i="1"/>
  <c r="M13" i="1"/>
  <c r="N13" i="1"/>
  <c r="O13" i="1"/>
  <c r="P13" i="1"/>
  <c r="Q13" i="1"/>
  <c r="J14" i="1"/>
  <c r="K14" i="1"/>
  <c r="L14" i="1"/>
  <c r="M14" i="1"/>
  <c r="N14" i="1"/>
  <c r="O14" i="1"/>
  <c r="P14" i="1"/>
  <c r="Q14" i="1"/>
  <c r="J15" i="1"/>
  <c r="K15" i="1"/>
  <c r="L15" i="1"/>
  <c r="M15" i="1"/>
  <c r="N15" i="1"/>
  <c r="O15" i="1"/>
  <c r="P15" i="1"/>
  <c r="Q15" i="1"/>
  <c r="J16" i="1"/>
  <c r="K16" i="1"/>
  <c r="L16" i="1"/>
  <c r="M16" i="1"/>
  <c r="N16" i="1"/>
  <c r="O16" i="1"/>
  <c r="P16" i="1"/>
  <c r="Q16" i="1"/>
  <c r="J17" i="1"/>
  <c r="K17" i="1"/>
  <c r="L17" i="1"/>
  <c r="M17" i="1"/>
  <c r="N17" i="1"/>
  <c r="O17" i="1"/>
  <c r="P17" i="1"/>
  <c r="Q17" i="1"/>
  <c r="J18" i="1"/>
  <c r="K18" i="1"/>
  <c r="L18" i="1"/>
  <c r="M18" i="1"/>
  <c r="N18" i="1"/>
  <c r="O18" i="1"/>
  <c r="P18" i="1"/>
  <c r="Q18" i="1"/>
  <c r="J19" i="1"/>
  <c r="K19" i="1"/>
  <c r="L19" i="1"/>
  <c r="M19" i="1"/>
  <c r="N19" i="1"/>
  <c r="O19" i="1"/>
  <c r="P19" i="1"/>
  <c r="Q19" i="1"/>
  <c r="J20" i="1"/>
  <c r="K20" i="1"/>
  <c r="L20" i="1"/>
  <c r="M20" i="1"/>
  <c r="N20" i="1"/>
  <c r="O20" i="1"/>
  <c r="P20" i="1"/>
  <c r="Q20" i="1"/>
  <c r="J21" i="1"/>
  <c r="K21" i="1"/>
  <c r="L21" i="1"/>
  <c r="M21" i="1"/>
  <c r="N21" i="1"/>
  <c r="O21" i="1"/>
  <c r="P21" i="1"/>
  <c r="Q21" i="1"/>
  <c r="J22" i="1"/>
  <c r="K22" i="1"/>
  <c r="L22" i="1"/>
  <c r="M22" i="1"/>
  <c r="N22" i="1"/>
  <c r="O22" i="1"/>
  <c r="P22" i="1"/>
  <c r="Q22" i="1"/>
  <c r="J23" i="1"/>
  <c r="K23" i="1"/>
  <c r="L23" i="1"/>
  <c r="M23" i="1"/>
  <c r="N23" i="1"/>
  <c r="O23" i="1"/>
  <c r="P23" i="1"/>
  <c r="Q23" i="1"/>
  <c r="J24" i="1"/>
  <c r="K24" i="1"/>
  <c r="L24" i="1"/>
  <c r="M24" i="1"/>
  <c r="N24" i="1"/>
  <c r="O24" i="1"/>
  <c r="P24" i="1"/>
  <c r="Q24" i="1"/>
  <c r="J25" i="1"/>
  <c r="K25" i="1"/>
  <c r="L25" i="1"/>
  <c r="M25" i="1"/>
  <c r="N25" i="1"/>
  <c r="O25" i="1"/>
  <c r="P25" i="1"/>
  <c r="Q25" i="1"/>
  <c r="J26" i="1"/>
  <c r="K26" i="1"/>
  <c r="L26" i="1"/>
  <c r="M26" i="1"/>
  <c r="N26" i="1"/>
  <c r="O26" i="1"/>
  <c r="P26" i="1"/>
  <c r="Q26" i="1"/>
  <c r="J27" i="1"/>
  <c r="K27" i="1"/>
  <c r="L27" i="1"/>
  <c r="M27" i="1"/>
  <c r="N27" i="1"/>
  <c r="O27" i="1"/>
  <c r="P27" i="1"/>
  <c r="Q27" i="1"/>
  <c r="J28" i="1"/>
  <c r="K28" i="1"/>
  <c r="L28" i="1"/>
  <c r="M28" i="1"/>
  <c r="N28" i="1"/>
  <c r="O28" i="1"/>
  <c r="P28" i="1"/>
  <c r="Q28" i="1"/>
  <c r="J29" i="1"/>
  <c r="K29" i="1"/>
  <c r="L29" i="1"/>
  <c r="M29" i="1"/>
  <c r="N29" i="1"/>
  <c r="O29" i="1"/>
  <c r="P29" i="1"/>
  <c r="Q29" i="1"/>
  <c r="J30" i="1"/>
  <c r="K30" i="1"/>
  <c r="L30" i="1"/>
  <c r="M30" i="1"/>
  <c r="N30" i="1"/>
  <c r="O30" i="1"/>
  <c r="P30" i="1"/>
  <c r="Q30" i="1"/>
  <c r="J31" i="1"/>
  <c r="K31" i="1"/>
  <c r="L31" i="1"/>
  <c r="M31" i="1"/>
  <c r="N31" i="1"/>
  <c r="O31" i="1"/>
  <c r="P31" i="1"/>
  <c r="Q31" i="1"/>
  <c r="J32" i="1"/>
  <c r="K32" i="1"/>
  <c r="L32" i="1"/>
  <c r="M32" i="1"/>
  <c r="N32" i="1"/>
  <c r="O32" i="1"/>
  <c r="P32" i="1"/>
  <c r="Q32" i="1"/>
  <c r="J33" i="1"/>
  <c r="K33" i="1"/>
  <c r="L33" i="1"/>
  <c r="M33" i="1"/>
  <c r="N33" i="1"/>
  <c r="O33" i="1"/>
  <c r="P33" i="1"/>
  <c r="Q33" i="1"/>
  <c r="J34" i="1"/>
  <c r="K34" i="1"/>
  <c r="L34" i="1"/>
  <c r="M34" i="1"/>
  <c r="N34" i="1"/>
  <c r="O34" i="1"/>
  <c r="P34" i="1"/>
  <c r="Q34" i="1"/>
  <c r="J35" i="1"/>
  <c r="K35" i="1"/>
  <c r="L35" i="1"/>
  <c r="M35" i="1"/>
  <c r="N35" i="1"/>
  <c r="O35" i="1"/>
  <c r="P35" i="1"/>
  <c r="Q35" i="1"/>
  <c r="J36" i="1"/>
  <c r="K36" i="1"/>
  <c r="L36" i="1"/>
  <c r="M36" i="1"/>
  <c r="N36" i="1"/>
  <c r="O36" i="1"/>
  <c r="P36" i="1"/>
  <c r="Q36" i="1"/>
  <c r="J37" i="1"/>
  <c r="K37" i="1"/>
  <c r="L37" i="1"/>
  <c r="M37" i="1"/>
  <c r="N37" i="1"/>
  <c r="O37" i="1"/>
  <c r="P37" i="1"/>
  <c r="Q37" i="1"/>
  <c r="J38" i="1"/>
  <c r="K38" i="1"/>
  <c r="L38" i="1"/>
  <c r="M38" i="1"/>
  <c r="N38" i="1"/>
  <c r="O38" i="1"/>
  <c r="P38" i="1"/>
  <c r="Q38" i="1"/>
  <c r="J39" i="1"/>
  <c r="K39" i="1"/>
  <c r="L39" i="1"/>
  <c r="M39" i="1"/>
  <c r="N39" i="1"/>
  <c r="O39" i="1"/>
  <c r="P39" i="1"/>
  <c r="Q39" i="1"/>
  <c r="J40" i="1"/>
  <c r="K40" i="1"/>
  <c r="L40" i="1"/>
  <c r="M40" i="1"/>
  <c r="N40" i="1"/>
  <c r="O40" i="1"/>
  <c r="P40" i="1"/>
  <c r="Q40" i="1"/>
  <c r="J41" i="1"/>
  <c r="K41" i="1"/>
  <c r="L41" i="1"/>
  <c r="M41" i="1"/>
  <c r="N41" i="1"/>
  <c r="O41" i="1"/>
  <c r="P41" i="1"/>
  <c r="Q41" i="1"/>
  <c r="J42" i="1"/>
  <c r="K42" i="1"/>
  <c r="L42" i="1"/>
  <c r="M42" i="1"/>
  <c r="N42" i="1"/>
  <c r="O42" i="1"/>
  <c r="P42" i="1"/>
  <c r="Q42" i="1"/>
  <c r="J43" i="1"/>
  <c r="K43" i="1"/>
  <c r="L43" i="1"/>
  <c r="M43" i="1"/>
  <c r="N43" i="1"/>
  <c r="O43" i="1"/>
  <c r="P43" i="1"/>
  <c r="Q43" i="1"/>
  <c r="J44" i="1"/>
  <c r="K44" i="1"/>
  <c r="L44" i="1"/>
  <c r="M44" i="1"/>
  <c r="N44" i="1"/>
  <c r="O44" i="1"/>
  <c r="P44" i="1"/>
  <c r="Q44" i="1"/>
  <c r="J45" i="1"/>
  <c r="K45" i="1"/>
  <c r="L45" i="1"/>
  <c r="M45" i="1"/>
  <c r="N45" i="1"/>
  <c r="O45" i="1"/>
  <c r="P45" i="1"/>
  <c r="Q45" i="1"/>
  <c r="J46" i="1"/>
  <c r="K46" i="1"/>
  <c r="L46" i="1"/>
  <c r="M46" i="1"/>
  <c r="N46" i="1"/>
  <c r="O46" i="1"/>
  <c r="P46" i="1"/>
  <c r="Q46" i="1"/>
  <c r="J47" i="1"/>
  <c r="K47" i="1"/>
  <c r="L47" i="1"/>
  <c r="M47" i="1"/>
  <c r="N47" i="1"/>
  <c r="O47" i="1"/>
  <c r="P47" i="1"/>
  <c r="Q47" i="1"/>
  <c r="J48" i="1"/>
  <c r="K48" i="1"/>
  <c r="L48" i="1"/>
  <c r="M48" i="1"/>
  <c r="N48" i="1"/>
  <c r="O48" i="1"/>
  <c r="P48" i="1"/>
  <c r="Q48" i="1"/>
  <c r="J49" i="1"/>
  <c r="K49" i="1"/>
  <c r="L49" i="1"/>
  <c r="M49" i="1"/>
  <c r="N49" i="1"/>
  <c r="O49" i="1"/>
  <c r="P49" i="1"/>
  <c r="Q49" i="1"/>
  <c r="J50" i="1"/>
  <c r="K50" i="1"/>
  <c r="L50" i="1"/>
  <c r="M50" i="1"/>
  <c r="N50" i="1"/>
  <c r="O50" i="1"/>
  <c r="P50" i="1"/>
  <c r="Q50" i="1"/>
  <c r="J51" i="1"/>
  <c r="K51" i="1"/>
  <c r="L51" i="1"/>
  <c r="M51" i="1"/>
  <c r="N51" i="1"/>
  <c r="O51" i="1"/>
  <c r="P51" i="1"/>
  <c r="Q51" i="1"/>
  <c r="J52" i="1"/>
  <c r="K52" i="1"/>
  <c r="L52" i="1"/>
  <c r="M52" i="1"/>
  <c r="N52" i="1"/>
  <c r="O52" i="1"/>
  <c r="P52" i="1"/>
  <c r="Q52" i="1"/>
  <c r="J53" i="1"/>
  <c r="K53" i="1"/>
  <c r="L53" i="1"/>
  <c r="M53" i="1"/>
  <c r="N53" i="1"/>
  <c r="O53" i="1"/>
  <c r="P53" i="1"/>
  <c r="Q53" i="1"/>
  <c r="J54" i="1"/>
  <c r="K54" i="1"/>
  <c r="L54" i="1"/>
  <c r="M54" i="1"/>
  <c r="N54" i="1"/>
  <c r="O54" i="1"/>
  <c r="P54" i="1"/>
  <c r="Q54" i="1"/>
  <c r="J55" i="1"/>
  <c r="K55" i="1"/>
  <c r="L55" i="1"/>
  <c r="M55" i="1"/>
  <c r="N55" i="1"/>
  <c r="O55" i="1"/>
  <c r="P55" i="1"/>
  <c r="Q55" i="1"/>
  <c r="J56" i="1"/>
  <c r="K56" i="1"/>
  <c r="L56" i="1"/>
  <c r="M56" i="1"/>
  <c r="N56" i="1"/>
  <c r="O56" i="1"/>
  <c r="P56" i="1"/>
  <c r="Q56" i="1"/>
  <c r="J57" i="1"/>
  <c r="K57" i="1"/>
  <c r="L57" i="1"/>
  <c r="M57" i="1"/>
  <c r="N57" i="1"/>
  <c r="O57" i="1"/>
  <c r="P57" i="1"/>
  <c r="Q57" i="1"/>
  <c r="J58" i="1"/>
  <c r="K58" i="1"/>
  <c r="L58" i="1"/>
  <c r="M58" i="1"/>
  <c r="N58" i="1"/>
  <c r="O58" i="1"/>
  <c r="P58" i="1"/>
  <c r="Q58" i="1"/>
  <c r="J59" i="1"/>
  <c r="K59" i="1"/>
  <c r="L59" i="1"/>
  <c r="M59" i="1"/>
  <c r="N59" i="1"/>
  <c r="O59" i="1"/>
  <c r="P59" i="1"/>
  <c r="Q59" i="1"/>
  <c r="J60" i="1"/>
  <c r="K60" i="1"/>
  <c r="L60" i="1"/>
  <c r="M60" i="1"/>
  <c r="N60" i="1"/>
  <c r="O60" i="1"/>
  <c r="P60" i="1"/>
  <c r="Q60" i="1"/>
  <c r="J61" i="1"/>
  <c r="K61" i="1"/>
  <c r="L61" i="1"/>
  <c r="M61" i="1"/>
  <c r="N61" i="1"/>
  <c r="O61" i="1"/>
  <c r="P61" i="1"/>
  <c r="Q61" i="1"/>
  <c r="J62" i="1"/>
  <c r="K62" i="1"/>
  <c r="L62" i="1"/>
  <c r="M62" i="1"/>
  <c r="N62" i="1"/>
  <c r="O62" i="1"/>
  <c r="P62" i="1"/>
  <c r="Q62" i="1"/>
  <c r="J63" i="1"/>
  <c r="K63" i="1"/>
  <c r="L63" i="1"/>
  <c r="M63" i="1"/>
  <c r="N63" i="1"/>
  <c r="O63" i="1"/>
  <c r="P63" i="1"/>
  <c r="Q63" i="1"/>
  <c r="J64" i="1"/>
  <c r="K64" i="1"/>
  <c r="L64" i="1"/>
  <c r="M64" i="1"/>
  <c r="N64" i="1"/>
  <c r="O64" i="1"/>
  <c r="P64" i="1"/>
  <c r="Q64" i="1"/>
  <c r="J65" i="1"/>
  <c r="K65" i="1"/>
  <c r="L65" i="1"/>
  <c r="M65" i="1"/>
  <c r="N65" i="1"/>
  <c r="O65" i="1"/>
  <c r="P65" i="1"/>
  <c r="Q65" i="1"/>
  <c r="J66" i="1"/>
  <c r="K66" i="1"/>
  <c r="L66" i="1"/>
  <c r="M66" i="1"/>
  <c r="N66" i="1"/>
  <c r="O66" i="1"/>
  <c r="P66" i="1"/>
  <c r="Q66" i="1"/>
  <c r="J67" i="1"/>
  <c r="K67" i="1"/>
  <c r="L67" i="1"/>
  <c r="M67" i="1"/>
  <c r="N67" i="1"/>
  <c r="O67" i="1"/>
  <c r="P67" i="1"/>
  <c r="Q67" i="1"/>
  <c r="J68" i="1"/>
  <c r="K68" i="1"/>
  <c r="L68" i="1"/>
  <c r="M68" i="1"/>
  <c r="N68" i="1"/>
  <c r="O68" i="1"/>
  <c r="P68" i="1"/>
  <c r="Q68" i="1"/>
  <c r="J69" i="1"/>
  <c r="K69" i="1"/>
  <c r="L69" i="1"/>
  <c r="M69" i="1"/>
  <c r="N69" i="1"/>
  <c r="O69" i="1"/>
  <c r="P69" i="1"/>
  <c r="Q69" i="1"/>
  <c r="J70" i="1"/>
  <c r="K70" i="1"/>
  <c r="L70" i="1"/>
  <c r="M70" i="1"/>
  <c r="N70" i="1"/>
  <c r="O70" i="1"/>
  <c r="P70" i="1"/>
  <c r="Q70" i="1"/>
  <c r="J71" i="1"/>
  <c r="K71" i="1"/>
  <c r="L71" i="1"/>
  <c r="M71" i="1"/>
  <c r="N71" i="1"/>
  <c r="O71" i="1"/>
  <c r="P71" i="1"/>
  <c r="Q71" i="1"/>
  <c r="J72" i="1"/>
  <c r="K72" i="1"/>
  <c r="L72" i="1"/>
  <c r="M72" i="1"/>
  <c r="N72" i="1"/>
  <c r="O72" i="1"/>
  <c r="P72" i="1"/>
  <c r="Q72" i="1"/>
  <c r="J73" i="1"/>
  <c r="K73" i="1"/>
  <c r="L73" i="1"/>
  <c r="M73" i="1"/>
  <c r="N73" i="1"/>
  <c r="O73" i="1"/>
  <c r="P73" i="1"/>
  <c r="Q73" i="1"/>
  <c r="J74" i="1"/>
  <c r="K74" i="1"/>
  <c r="L74" i="1"/>
  <c r="M74" i="1"/>
  <c r="N74" i="1"/>
  <c r="O74" i="1"/>
  <c r="P74" i="1"/>
  <c r="Q74" i="1"/>
  <c r="J75" i="1"/>
  <c r="K75" i="1"/>
  <c r="L75" i="1"/>
  <c r="M75" i="1"/>
  <c r="N75" i="1"/>
  <c r="O75" i="1"/>
  <c r="P75" i="1"/>
  <c r="Q75" i="1"/>
  <c r="J76" i="1"/>
  <c r="K76" i="1"/>
  <c r="L76" i="1"/>
  <c r="M76" i="1"/>
  <c r="N76" i="1"/>
  <c r="O76" i="1"/>
  <c r="P76" i="1"/>
  <c r="Q76" i="1"/>
  <c r="J77" i="1"/>
  <c r="K77" i="1"/>
  <c r="L77" i="1"/>
  <c r="M77" i="1"/>
  <c r="N77" i="1"/>
  <c r="O77" i="1"/>
  <c r="P77" i="1"/>
  <c r="Q77" i="1"/>
  <c r="J78" i="1"/>
  <c r="K78" i="1"/>
  <c r="L78" i="1"/>
  <c r="M78" i="1"/>
  <c r="N78" i="1"/>
  <c r="O78" i="1"/>
  <c r="P78" i="1"/>
  <c r="Q78" i="1"/>
  <c r="J79" i="1"/>
  <c r="K79" i="1"/>
  <c r="L79" i="1"/>
  <c r="M79" i="1"/>
  <c r="N79" i="1"/>
  <c r="O79" i="1"/>
  <c r="P79" i="1"/>
  <c r="Q79" i="1"/>
  <c r="J80" i="1"/>
  <c r="K80" i="1"/>
  <c r="L80" i="1"/>
  <c r="M80" i="1"/>
  <c r="N80" i="1"/>
  <c r="O80" i="1"/>
  <c r="P80" i="1"/>
  <c r="Q80" i="1"/>
  <c r="J81" i="1"/>
  <c r="K81" i="1"/>
  <c r="L81" i="1"/>
  <c r="M81" i="1"/>
  <c r="N81" i="1"/>
  <c r="O81" i="1"/>
  <c r="P81" i="1"/>
  <c r="Q81" i="1"/>
  <c r="J82" i="1"/>
  <c r="K82" i="1"/>
  <c r="L82" i="1"/>
  <c r="M82" i="1"/>
  <c r="N82" i="1"/>
  <c r="O82" i="1"/>
  <c r="P82" i="1"/>
  <c r="Q82" i="1"/>
  <c r="J83" i="1"/>
  <c r="K83" i="1"/>
  <c r="L83" i="1"/>
  <c r="M83" i="1"/>
  <c r="N83" i="1"/>
  <c r="O83" i="1"/>
  <c r="P83" i="1"/>
  <c r="Q83" i="1"/>
  <c r="J84" i="1"/>
  <c r="K84" i="1"/>
  <c r="L84" i="1"/>
  <c r="M84" i="1"/>
  <c r="N84" i="1"/>
  <c r="O84" i="1"/>
  <c r="P84" i="1"/>
  <c r="Q84" i="1"/>
  <c r="J85" i="1"/>
  <c r="K85" i="1"/>
  <c r="L85" i="1"/>
  <c r="M85" i="1"/>
  <c r="N85" i="1"/>
  <c r="O85" i="1"/>
  <c r="P85" i="1"/>
  <c r="Q85" i="1"/>
  <c r="J86" i="1"/>
  <c r="K86" i="1"/>
  <c r="L86" i="1"/>
  <c r="M86" i="1"/>
  <c r="N86" i="1"/>
  <c r="O86" i="1"/>
  <c r="P86" i="1"/>
  <c r="Q86" i="1"/>
  <c r="J87" i="1"/>
  <c r="K87" i="1"/>
  <c r="L87" i="1"/>
  <c r="M87" i="1"/>
  <c r="N87" i="1"/>
  <c r="O87" i="1"/>
  <c r="P87" i="1"/>
  <c r="Q87" i="1"/>
  <c r="J88" i="1"/>
  <c r="K88" i="1"/>
  <c r="L88" i="1"/>
  <c r="M88" i="1"/>
  <c r="N88" i="1"/>
  <c r="O88" i="1"/>
  <c r="P88" i="1"/>
  <c r="Q88" i="1"/>
  <c r="J89" i="1"/>
  <c r="K89" i="1"/>
  <c r="L89" i="1"/>
  <c r="M89" i="1"/>
  <c r="N89" i="1"/>
  <c r="O89" i="1"/>
  <c r="P89" i="1"/>
  <c r="Q89" i="1"/>
  <c r="J90" i="1"/>
  <c r="K90" i="1"/>
  <c r="L90" i="1"/>
  <c r="M90" i="1"/>
  <c r="N90" i="1"/>
  <c r="O90" i="1"/>
  <c r="P90" i="1"/>
  <c r="Q90" i="1"/>
  <c r="J91" i="1"/>
  <c r="K91" i="1"/>
  <c r="L91" i="1"/>
  <c r="M91" i="1"/>
  <c r="N91" i="1"/>
  <c r="O91" i="1"/>
  <c r="P91" i="1"/>
  <c r="Q91" i="1"/>
  <c r="J92" i="1"/>
  <c r="K92" i="1"/>
  <c r="L92" i="1"/>
  <c r="M92" i="1"/>
  <c r="N92" i="1"/>
  <c r="O92" i="1"/>
  <c r="P92" i="1"/>
  <c r="Q92" i="1"/>
  <c r="J93" i="1"/>
  <c r="K93" i="1"/>
  <c r="L93" i="1"/>
  <c r="M93" i="1"/>
  <c r="N93" i="1"/>
  <c r="O93" i="1"/>
  <c r="P93" i="1"/>
  <c r="Q93" i="1"/>
  <c r="J94" i="1"/>
  <c r="K94" i="1"/>
  <c r="L94" i="1"/>
  <c r="M94" i="1"/>
  <c r="N94" i="1"/>
  <c r="O94" i="1"/>
  <c r="P94" i="1"/>
  <c r="Q94" i="1"/>
  <c r="J95" i="1"/>
  <c r="K95" i="1"/>
  <c r="L95" i="1"/>
  <c r="M95" i="1"/>
  <c r="N95" i="1"/>
  <c r="O95" i="1"/>
  <c r="P95" i="1"/>
  <c r="Q95" i="1"/>
  <c r="J96" i="1"/>
  <c r="K96" i="1"/>
  <c r="L96" i="1"/>
  <c r="M96" i="1"/>
  <c r="N96" i="1"/>
  <c r="O96" i="1"/>
  <c r="P96" i="1"/>
  <c r="Q96" i="1"/>
  <c r="J97" i="1"/>
  <c r="K97" i="1"/>
  <c r="L97" i="1"/>
  <c r="M97" i="1"/>
  <c r="N97" i="1"/>
  <c r="O97" i="1"/>
  <c r="P97" i="1"/>
  <c r="Q97" i="1"/>
  <c r="J98" i="1"/>
  <c r="K98" i="1"/>
  <c r="L98" i="1"/>
  <c r="M98" i="1"/>
  <c r="N98" i="1"/>
  <c r="O98" i="1"/>
  <c r="P98" i="1"/>
  <c r="Q98" i="1"/>
  <c r="J99" i="1"/>
  <c r="K99" i="1"/>
  <c r="L99" i="1"/>
  <c r="M99" i="1"/>
  <c r="N99" i="1"/>
  <c r="O99" i="1"/>
  <c r="P99" i="1"/>
  <c r="Q99" i="1"/>
  <c r="J100" i="1"/>
  <c r="K100" i="1"/>
  <c r="L100" i="1"/>
  <c r="M100" i="1"/>
  <c r="N100" i="1"/>
  <c r="O100" i="1"/>
  <c r="P100" i="1"/>
  <c r="Q100" i="1"/>
  <c r="J101" i="1"/>
  <c r="K101" i="1"/>
  <c r="L101" i="1"/>
  <c r="M101" i="1"/>
  <c r="N101" i="1"/>
  <c r="O101" i="1"/>
  <c r="P101" i="1"/>
  <c r="Q101" i="1"/>
  <c r="J102" i="1"/>
  <c r="K102" i="1"/>
  <c r="L102" i="1"/>
  <c r="M102" i="1"/>
  <c r="N102" i="1"/>
  <c r="O102" i="1"/>
  <c r="P102" i="1"/>
  <c r="Q102" i="1"/>
  <c r="J103" i="1"/>
  <c r="K103" i="1"/>
  <c r="L103" i="1"/>
  <c r="M103" i="1"/>
  <c r="N103" i="1"/>
  <c r="O103" i="1"/>
  <c r="P103" i="1"/>
  <c r="Q103" i="1"/>
  <c r="J104" i="1"/>
  <c r="K104" i="1"/>
  <c r="L104" i="1"/>
  <c r="M104" i="1"/>
  <c r="N104" i="1"/>
  <c r="O104" i="1"/>
  <c r="P104" i="1"/>
  <c r="Q104" i="1"/>
  <c r="J105" i="1"/>
  <c r="K105" i="1"/>
  <c r="L105" i="1"/>
  <c r="M105" i="1"/>
  <c r="N105" i="1"/>
  <c r="O105" i="1"/>
  <c r="P105" i="1"/>
  <c r="Q105" i="1"/>
  <c r="J106" i="1"/>
  <c r="K106" i="1"/>
  <c r="L106" i="1"/>
  <c r="M106" i="1"/>
  <c r="N106" i="1"/>
  <c r="O106" i="1"/>
  <c r="P106" i="1"/>
  <c r="Q106" i="1"/>
  <c r="J107" i="1"/>
  <c r="K107" i="1"/>
  <c r="L107" i="1"/>
  <c r="M107" i="1"/>
  <c r="N107" i="1"/>
  <c r="O107" i="1"/>
  <c r="P107" i="1"/>
  <c r="Q107" i="1"/>
  <c r="J108" i="1"/>
  <c r="K108" i="1"/>
  <c r="L108" i="1"/>
  <c r="M108" i="1"/>
  <c r="N108" i="1"/>
  <c r="O108" i="1"/>
  <c r="P108" i="1"/>
  <c r="Q108" i="1"/>
  <c r="J109" i="1"/>
  <c r="K109" i="1"/>
  <c r="L109" i="1"/>
  <c r="M109" i="1"/>
  <c r="N109" i="1"/>
  <c r="O109" i="1"/>
  <c r="P109" i="1"/>
  <c r="Q109" i="1"/>
  <c r="J110" i="1"/>
  <c r="K110" i="1"/>
  <c r="L110" i="1"/>
  <c r="M110" i="1"/>
  <c r="N110" i="1"/>
  <c r="O110" i="1"/>
  <c r="P110" i="1"/>
  <c r="Q110" i="1"/>
  <c r="J111" i="1"/>
  <c r="K111" i="1"/>
  <c r="L111" i="1"/>
  <c r="M111" i="1"/>
  <c r="N111" i="1"/>
  <c r="O111" i="1"/>
  <c r="P111" i="1"/>
  <c r="Q111" i="1"/>
  <c r="J112" i="1"/>
  <c r="K112" i="1"/>
  <c r="L112" i="1"/>
  <c r="M112" i="1"/>
  <c r="N112" i="1"/>
  <c r="O112" i="1"/>
  <c r="P112" i="1"/>
  <c r="Q112" i="1"/>
  <c r="J113" i="1"/>
  <c r="K113" i="1"/>
  <c r="L113" i="1"/>
  <c r="M113" i="1"/>
  <c r="N113" i="1"/>
  <c r="O113" i="1"/>
  <c r="P113" i="1"/>
  <c r="Q113" i="1"/>
  <c r="J114" i="1"/>
  <c r="K114" i="1"/>
  <c r="L114" i="1"/>
  <c r="M114" i="1"/>
  <c r="N114" i="1"/>
  <c r="O114" i="1"/>
  <c r="P114" i="1"/>
  <c r="Q114" i="1"/>
  <c r="J115" i="1"/>
  <c r="K115" i="1"/>
  <c r="L115" i="1"/>
  <c r="M115" i="1"/>
  <c r="N115" i="1"/>
  <c r="O115" i="1"/>
  <c r="P115" i="1"/>
  <c r="Q115" i="1"/>
  <c r="J116" i="1"/>
  <c r="K116" i="1"/>
  <c r="L116" i="1"/>
  <c r="M116" i="1"/>
  <c r="N116" i="1"/>
  <c r="O116" i="1"/>
  <c r="P116" i="1"/>
  <c r="Q116" i="1"/>
  <c r="J117" i="1"/>
  <c r="K117" i="1"/>
  <c r="L117" i="1"/>
  <c r="M117" i="1"/>
  <c r="N117" i="1"/>
  <c r="O117" i="1"/>
  <c r="P117" i="1"/>
  <c r="Q117" i="1"/>
  <c r="J118" i="1"/>
  <c r="K118" i="1"/>
  <c r="L118" i="1"/>
  <c r="M118" i="1"/>
  <c r="N118" i="1"/>
  <c r="O118" i="1"/>
  <c r="P118" i="1"/>
  <c r="Q118" i="1"/>
  <c r="J119" i="1"/>
  <c r="K119" i="1"/>
  <c r="L119" i="1"/>
  <c r="M119" i="1"/>
  <c r="N119" i="1"/>
  <c r="O119" i="1"/>
  <c r="P119" i="1"/>
  <c r="Q119" i="1"/>
  <c r="J120" i="1"/>
  <c r="K120" i="1"/>
  <c r="L120" i="1"/>
  <c r="M120" i="1"/>
  <c r="N120" i="1"/>
  <c r="O120" i="1"/>
  <c r="P120" i="1"/>
  <c r="Q120" i="1"/>
  <c r="J121" i="1"/>
  <c r="K121" i="1"/>
  <c r="L121" i="1"/>
  <c r="M121" i="1"/>
  <c r="N121" i="1"/>
  <c r="O121" i="1"/>
  <c r="P121" i="1"/>
  <c r="Q121" i="1"/>
  <c r="J122" i="1"/>
  <c r="K122" i="1"/>
  <c r="L122" i="1"/>
  <c r="M122" i="1"/>
  <c r="N122" i="1"/>
  <c r="O122" i="1"/>
  <c r="P122" i="1"/>
  <c r="Q122" i="1"/>
  <c r="J123" i="1"/>
  <c r="K123" i="1"/>
  <c r="L123" i="1"/>
  <c r="M123" i="1"/>
  <c r="N123" i="1"/>
  <c r="O123" i="1"/>
  <c r="P123" i="1"/>
  <c r="Q123" i="1"/>
  <c r="J124" i="1"/>
  <c r="K124" i="1"/>
  <c r="L124" i="1"/>
  <c r="M124" i="1"/>
  <c r="N124" i="1"/>
  <c r="O124" i="1"/>
  <c r="P124" i="1"/>
  <c r="Q124" i="1"/>
  <c r="J125" i="1"/>
  <c r="K125" i="1"/>
  <c r="L125" i="1"/>
  <c r="M125" i="1"/>
  <c r="N125" i="1"/>
  <c r="O125" i="1"/>
  <c r="P125" i="1"/>
  <c r="Q125" i="1"/>
  <c r="J126" i="1"/>
  <c r="K126" i="1"/>
  <c r="L126" i="1"/>
  <c r="M126" i="1"/>
  <c r="N126" i="1"/>
  <c r="O126" i="1"/>
  <c r="P126" i="1"/>
  <c r="Q126" i="1"/>
  <c r="J127" i="1"/>
  <c r="K127" i="1"/>
  <c r="L127" i="1"/>
  <c r="M127" i="1"/>
  <c r="N127" i="1"/>
  <c r="O127" i="1"/>
  <c r="P127" i="1"/>
  <c r="Q127" i="1"/>
  <c r="J128" i="1"/>
  <c r="K128" i="1"/>
  <c r="L128" i="1"/>
  <c r="M128" i="1"/>
  <c r="N128" i="1"/>
  <c r="O128" i="1"/>
  <c r="P128" i="1"/>
  <c r="Q128" i="1"/>
  <c r="J129" i="1"/>
  <c r="K129" i="1"/>
  <c r="L129" i="1"/>
  <c r="M129" i="1"/>
  <c r="N129" i="1"/>
  <c r="O129" i="1"/>
  <c r="P129" i="1"/>
  <c r="Q129" i="1"/>
  <c r="J130" i="1"/>
  <c r="K130" i="1"/>
  <c r="L130" i="1"/>
  <c r="M130" i="1"/>
  <c r="N130" i="1"/>
  <c r="O130" i="1"/>
  <c r="P130" i="1"/>
  <c r="Q130" i="1"/>
  <c r="J131" i="1"/>
  <c r="K131" i="1"/>
  <c r="L131" i="1"/>
  <c r="M131" i="1"/>
  <c r="N131" i="1"/>
  <c r="O131" i="1"/>
  <c r="P131" i="1"/>
  <c r="Q131" i="1"/>
  <c r="J132" i="1"/>
  <c r="K132" i="1"/>
  <c r="L132" i="1"/>
  <c r="M132" i="1"/>
  <c r="N132" i="1"/>
  <c r="O132" i="1"/>
  <c r="P132" i="1"/>
  <c r="Q132" i="1"/>
  <c r="J133" i="1"/>
  <c r="K133" i="1"/>
  <c r="L133" i="1"/>
  <c r="M133" i="1"/>
  <c r="N133" i="1"/>
  <c r="O133" i="1"/>
  <c r="P133" i="1"/>
  <c r="Q133" i="1"/>
  <c r="J134" i="1"/>
  <c r="K134" i="1"/>
  <c r="L134" i="1"/>
  <c r="M134" i="1"/>
  <c r="N134" i="1"/>
  <c r="O134" i="1"/>
  <c r="P134" i="1"/>
  <c r="Q134" i="1"/>
  <c r="J135" i="1"/>
  <c r="K135" i="1"/>
  <c r="L135" i="1"/>
  <c r="M135" i="1"/>
  <c r="N135" i="1"/>
  <c r="O135" i="1"/>
  <c r="P135" i="1"/>
  <c r="Q135" i="1"/>
  <c r="J136" i="1"/>
  <c r="K136" i="1"/>
  <c r="L136" i="1"/>
  <c r="M136" i="1"/>
  <c r="N136" i="1"/>
  <c r="O136" i="1"/>
  <c r="P136" i="1"/>
  <c r="Q136" i="1"/>
  <c r="J137" i="1"/>
  <c r="K137" i="1"/>
  <c r="L137" i="1"/>
  <c r="M137" i="1"/>
  <c r="N137" i="1"/>
  <c r="O137" i="1"/>
  <c r="P137" i="1"/>
  <c r="Q137" i="1"/>
  <c r="J138" i="1"/>
  <c r="K138" i="1"/>
  <c r="L138" i="1"/>
  <c r="M138" i="1"/>
  <c r="N138" i="1"/>
  <c r="O138" i="1"/>
  <c r="P138" i="1"/>
  <c r="Q138" i="1"/>
  <c r="J139" i="1"/>
  <c r="K139" i="1"/>
  <c r="L139" i="1"/>
  <c r="M139" i="1"/>
  <c r="N139" i="1"/>
  <c r="O139" i="1"/>
  <c r="P139" i="1"/>
  <c r="Q139" i="1"/>
  <c r="J140" i="1"/>
  <c r="K140" i="1"/>
  <c r="L140" i="1"/>
  <c r="M140" i="1"/>
  <c r="N140" i="1"/>
  <c r="O140" i="1"/>
  <c r="P140" i="1"/>
  <c r="Q140" i="1"/>
  <c r="J141" i="1"/>
  <c r="K141" i="1"/>
  <c r="L141" i="1"/>
  <c r="M141" i="1"/>
  <c r="N141" i="1"/>
  <c r="O141" i="1"/>
  <c r="P141" i="1"/>
  <c r="Q141" i="1"/>
  <c r="J142" i="1"/>
  <c r="K142" i="1"/>
  <c r="L142" i="1"/>
  <c r="M142" i="1"/>
  <c r="N142" i="1"/>
  <c r="O142" i="1"/>
  <c r="P142" i="1"/>
  <c r="Q142" i="1"/>
  <c r="J143" i="1"/>
  <c r="K143" i="1"/>
  <c r="L143" i="1"/>
  <c r="M143" i="1"/>
  <c r="N143" i="1"/>
  <c r="O143" i="1"/>
  <c r="P143" i="1"/>
  <c r="Q143" i="1"/>
  <c r="J144" i="1"/>
  <c r="K144" i="1"/>
  <c r="L144" i="1"/>
  <c r="M144" i="1"/>
  <c r="N144" i="1"/>
  <c r="O144" i="1"/>
  <c r="P144" i="1"/>
  <c r="Q144" i="1"/>
  <c r="J145" i="1"/>
  <c r="K145" i="1"/>
  <c r="L145" i="1"/>
  <c r="M145" i="1"/>
  <c r="N145" i="1"/>
  <c r="O145" i="1"/>
  <c r="P145" i="1"/>
  <c r="Q145" i="1"/>
  <c r="J146" i="1"/>
  <c r="K146" i="1"/>
  <c r="L146" i="1"/>
  <c r="M146" i="1"/>
  <c r="N146" i="1"/>
  <c r="O146" i="1"/>
  <c r="P146" i="1"/>
  <c r="Q146" i="1"/>
  <c r="J147" i="1"/>
  <c r="K147" i="1"/>
  <c r="L147" i="1"/>
  <c r="M147" i="1"/>
  <c r="N147" i="1"/>
  <c r="O147" i="1"/>
  <c r="P147" i="1"/>
  <c r="Q147" i="1"/>
  <c r="J148" i="1"/>
  <c r="K148" i="1"/>
  <c r="L148" i="1"/>
  <c r="M148" i="1"/>
  <c r="N148" i="1"/>
  <c r="O148" i="1"/>
  <c r="P148" i="1"/>
  <c r="Q148" i="1"/>
  <c r="J149" i="1"/>
  <c r="K149" i="1"/>
  <c r="L149" i="1"/>
  <c r="M149" i="1"/>
  <c r="N149" i="1"/>
  <c r="O149" i="1"/>
  <c r="P149" i="1"/>
  <c r="Q149" i="1"/>
  <c r="J150" i="1"/>
  <c r="K150" i="1"/>
  <c r="L150" i="1"/>
  <c r="M150" i="1"/>
  <c r="N150" i="1"/>
  <c r="O150" i="1"/>
  <c r="P150" i="1"/>
  <c r="Q150" i="1"/>
  <c r="J151" i="1"/>
  <c r="K151" i="1"/>
  <c r="L151" i="1"/>
  <c r="M151" i="1"/>
  <c r="N151" i="1"/>
  <c r="O151" i="1"/>
  <c r="P151" i="1"/>
  <c r="Q151" i="1"/>
  <c r="J152" i="1"/>
  <c r="K152" i="1"/>
  <c r="L152" i="1"/>
  <c r="M152" i="1"/>
  <c r="N152" i="1"/>
  <c r="O152" i="1"/>
  <c r="P152" i="1"/>
  <c r="Q152" i="1"/>
  <c r="J153" i="1"/>
  <c r="K153" i="1"/>
  <c r="L153" i="1"/>
  <c r="M153" i="1"/>
  <c r="N153" i="1"/>
  <c r="O153" i="1"/>
  <c r="P153" i="1"/>
  <c r="Q153" i="1"/>
  <c r="J154" i="1"/>
  <c r="K154" i="1"/>
  <c r="L154" i="1"/>
  <c r="M154" i="1"/>
  <c r="N154" i="1"/>
  <c r="O154" i="1"/>
  <c r="P154" i="1"/>
  <c r="Q154" i="1"/>
  <c r="J155" i="1"/>
  <c r="K155" i="1"/>
  <c r="L155" i="1"/>
  <c r="M155" i="1"/>
  <c r="N155" i="1"/>
  <c r="O155" i="1"/>
  <c r="P155" i="1"/>
  <c r="Q155" i="1"/>
  <c r="J156" i="1"/>
  <c r="K156" i="1"/>
  <c r="L156" i="1"/>
  <c r="M156" i="1"/>
  <c r="N156" i="1"/>
  <c r="O156" i="1"/>
  <c r="P156" i="1"/>
  <c r="Q156" i="1"/>
  <c r="J157" i="1"/>
  <c r="K157" i="1"/>
  <c r="L157" i="1"/>
  <c r="M157" i="1"/>
  <c r="N157" i="1"/>
  <c r="O157" i="1"/>
  <c r="P157" i="1"/>
  <c r="Q157" i="1"/>
  <c r="J158" i="1"/>
  <c r="K158" i="1"/>
  <c r="L158" i="1"/>
  <c r="M158" i="1"/>
  <c r="N158" i="1"/>
  <c r="O158" i="1"/>
  <c r="P158" i="1"/>
  <c r="Q158" i="1"/>
  <c r="J159" i="1"/>
  <c r="K159" i="1"/>
  <c r="L159" i="1"/>
  <c r="M159" i="1"/>
  <c r="N159" i="1"/>
  <c r="O159" i="1"/>
  <c r="P159" i="1"/>
  <c r="Q159" i="1"/>
  <c r="J160" i="1"/>
  <c r="K160" i="1"/>
  <c r="L160" i="1"/>
  <c r="M160" i="1"/>
  <c r="N160" i="1"/>
  <c r="O160" i="1"/>
  <c r="P160" i="1"/>
  <c r="Q160" i="1"/>
  <c r="J161" i="1"/>
  <c r="K161" i="1"/>
  <c r="L161" i="1"/>
  <c r="M161" i="1"/>
  <c r="N161" i="1"/>
  <c r="O161" i="1"/>
  <c r="P161" i="1"/>
  <c r="Q161" i="1"/>
  <c r="J162" i="1"/>
  <c r="K162" i="1"/>
  <c r="L162" i="1"/>
  <c r="M162" i="1"/>
  <c r="N162" i="1"/>
  <c r="O162" i="1"/>
  <c r="P162" i="1"/>
  <c r="Q162" i="1"/>
  <c r="J163" i="1"/>
  <c r="K163" i="1"/>
  <c r="L163" i="1"/>
  <c r="M163" i="1"/>
  <c r="N163" i="1"/>
  <c r="O163" i="1"/>
  <c r="P163" i="1"/>
  <c r="Q163" i="1"/>
  <c r="J164" i="1"/>
  <c r="K164" i="1"/>
  <c r="L164" i="1"/>
  <c r="M164" i="1"/>
  <c r="N164" i="1"/>
  <c r="O164" i="1"/>
  <c r="P164" i="1"/>
  <c r="Q164" i="1"/>
  <c r="J165" i="1"/>
  <c r="K165" i="1"/>
  <c r="L165" i="1"/>
  <c r="M165" i="1"/>
  <c r="N165" i="1"/>
  <c r="O165" i="1"/>
  <c r="P165" i="1"/>
  <c r="Q165" i="1"/>
  <c r="J166" i="1"/>
  <c r="K166" i="1"/>
  <c r="L166" i="1"/>
  <c r="M166" i="1"/>
  <c r="N166" i="1"/>
  <c r="O166" i="1"/>
  <c r="P166" i="1"/>
  <c r="Q166" i="1"/>
  <c r="J167" i="1"/>
  <c r="K167" i="1"/>
  <c r="L167" i="1"/>
  <c r="M167" i="1"/>
  <c r="N167" i="1"/>
  <c r="O167" i="1"/>
  <c r="P167" i="1"/>
  <c r="Q167" i="1"/>
  <c r="J168" i="1"/>
  <c r="K168" i="1"/>
  <c r="L168" i="1"/>
  <c r="M168" i="1"/>
  <c r="N168" i="1"/>
  <c r="O168" i="1"/>
  <c r="P168" i="1"/>
  <c r="Q168" i="1"/>
  <c r="J169" i="1"/>
  <c r="K169" i="1"/>
  <c r="L169" i="1"/>
  <c r="M169" i="1"/>
  <c r="N169" i="1"/>
  <c r="O169" i="1"/>
  <c r="P169" i="1"/>
  <c r="Q169" i="1"/>
  <c r="J170" i="1"/>
  <c r="K170" i="1"/>
  <c r="L170" i="1"/>
  <c r="M170" i="1"/>
  <c r="N170" i="1"/>
  <c r="O170" i="1"/>
  <c r="P170" i="1"/>
  <c r="Q170" i="1"/>
  <c r="J171" i="1"/>
  <c r="K171" i="1"/>
  <c r="L171" i="1"/>
  <c r="M171" i="1"/>
  <c r="N171" i="1"/>
  <c r="O171" i="1"/>
  <c r="P171" i="1"/>
  <c r="Q171" i="1"/>
  <c r="J172" i="1"/>
  <c r="K172" i="1"/>
  <c r="L172" i="1"/>
  <c r="M172" i="1"/>
  <c r="N172" i="1"/>
  <c r="O172" i="1"/>
  <c r="P172" i="1"/>
  <c r="Q172" i="1"/>
  <c r="J173" i="1"/>
  <c r="K173" i="1"/>
  <c r="L173" i="1"/>
  <c r="M173" i="1"/>
  <c r="N173" i="1"/>
  <c r="O173" i="1"/>
  <c r="P173" i="1"/>
  <c r="Q173" i="1"/>
  <c r="J174" i="1"/>
  <c r="K174" i="1"/>
  <c r="L174" i="1"/>
  <c r="M174" i="1"/>
  <c r="N174" i="1"/>
  <c r="O174" i="1"/>
  <c r="P174" i="1"/>
  <c r="Q174" i="1"/>
  <c r="J175" i="1"/>
  <c r="K175" i="1"/>
  <c r="L175" i="1"/>
  <c r="M175" i="1"/>
  <c r="N175" i="1"/>
  <c r="O175" i="1"/>
  <c r="P175" i="1"/>
  <c r="Q175" i="1"/>
  <c r="J176" i="1"/>
  <c r="K176" i="1"/>
  <c r="L176" i="1"/>
  <c r="M176" i="1"/>
  <c r="N176" i="1"/>
  <c r="O176" i="1"/>
  <c r="P176" i="1"/>
  <c r="Q176" i="1"/>
  <c r="J177" i="1"/>
  <c r="K177" i="1"/>
  <c r="L177" i="1"/>
  <c r="M177" i="1"/>
  <c r="N177" i="1"/>
  <c r="O177" i="1"/>
  <c r="P177" i="1"/>
  <c r="Q177" i="1"/>
  <c r="J178" i="1"/>
  <c r="K178" i="1"/>
  <c r="L178" i="1"/>
  <c r="M178" i="1"/>
  <c r="N178" i="1"/>
  <c r="O178" i="1"/>
  <c r="P178" i="1"/>
  <c r="Q178" i="1"/>
  <c r="J179" i="1"/>
  <c r="K179" i="1"/>
  <c r="L179" i="1"/>
  <c r="M179" i="1"/>
  <c r="N179" i="1"/>
  <c r="O179" i="1"/>
  <c r="P179" i="1"/>
  <c r="Q179" i="1"/>
  <c r="J180" i="1"/>
  <c r="K180" i="1"/>
  <c r="L180" i="1"/>
  <c r="M180" i="1"/>
  <c r="N180" i="1"/>
  <c r="O180" i="1"/>
  <c r="P180" i="1"/>
  <c r="Q180" i="1"/>
  <c r="J181" i="1"/>
  <c r="K181" i="1"/>
  <c r="L181" i="1"/>
  <c r="M181" i="1"/>
  <c r="N181" i="1"/>
  <c r="O181" i="1"/>
  <c r="P181" i="1"/>
  <c r="Q181" i="1"/>
  <c r="J182" i="1"/>
  <c r="K182" i="1"/>
  <c r="L182" i="1"/>
  <c r="M182" i="1"/>
  <c r="N182" i="1"/>
  <c r="O182" i="1"/>
  <c r="P182" i="1"/>
  <c r="Q182" i="1"/>
  <c r="J183" i="1"/>
  <c r="K183" i="1"/>
  <c r="L183" i="1"/>
  <c r="M183" i="1"/>
  <c r="N183" i="1"/>
  <c r="O183" i="1"/>
  <c r="P183" i="1"/>
  <c r="Q183" i="1"/>
  <c r="J184" i="1"/>
  <c r="K184" i="1"/>
  <c r="L184" i="1"/>
  <c r="M184" i="1"/>
  <c r="N184" i="1"/>
  <c r="O184" i="1"/>
  <c r="P184" i="1"/>
  <c r="Q184" i="1"/>
  <c r="J185" i="1"/>
  <c r="K185" i="1"/>
  <c r="L185" i="1"/>
  <c r="M185" i="1"/>
  <c r="N185" i="1"/>
  <c r="O185" i="1"/>
  <c r="P185" i="1"/>
  <c r="Q185" i="1"/>
  <c r="J186" i="1"/>
  <c r="K186" i="1"/>
  <c r="L186" i="1"/>
  <c r="M186" i="1"/>
  <c r="N186" i="1"/>
  <c r="O186" i="1"/>
  <c r="P186" i="1"/>
  <c r="Q186" i="1"/>
  <c r="J187" i="1"/>
  <c r="K187" i="1"/>
  <c r="L187" i="1"/>
  <c r="M187" i="1"/>
  <c r="N187" i="1"/>
  <c r="O187" i="1"/>
  <c r="P187" i="1"/>
  <c r="Q187" i="1"/>
  <c r="J188" i="1"/>
  <c r="K188" i="1"/>
  <c r="L188" i="1"/>
  <c r="M188" i="1"/>
  <c r="N188" i="1"/>
  <c r="O188" i="1"/>
  <c r="P188" i="1"/>
  <c r="Q188" i="1"/>
  <c r="J189" i="1"/>
  <c r="K189" i="1"/>
  <c r="L189" i="1"/>
  <c r="M189" i="1"/>
  <c r="N189" i="1"/>
  <c r="O189" i="1"/>
  <c r="P189" i="1"/>
  <c r="Q189" i="1"/>
  <c r="J190" i="1"/>
  <c r="K190" i="1"/>
  <c r="L190" i="1"/>
  <c r="M190" i="1"/>
  <c r="N190" i="1"/>
  <c r="O190" i="1"/>
  <c r="P190" i="1"/>
  <c r="Q190" i="1"/>
  <c r="J191" i="1"/>
  <c r="K191" i="1"/>
  <c r="L191" i="1"/>
  <c r="M191" i="1"/>
  <c r="N191" i="1"/>
  <c r="O191" i="1"/>
  <c r="P191" i="1"/>
  <c r="Q191" i="1"/>
  <c r="J192" i="1"/>
  <c r="K192" i="1"/>
  <c r="L192" i="1"/>
  <c r="M192" i="1"/>
  <c r="N192" i="1"/>
  <c r="O192" i="1"/>
  <c r="P192" i="1"/>
  <c r="Q192" i="1"/>
  <c r="J193" i="1"/>
  <c r="K193" i="1"/>
  <c r="L193" i="1"/>
  <c r="M193" i="1"/>
  <c r="N193" i="1"/>
  <c r="O193" i="1"/>
  <c r="P193" i="1"/>
  <c r="Q193" i="1"/>
  <c r="J194" i="1"/>
  <c r="K194" i="1"/>
  <c r="L194" i="1"/>
  <c r="M194" i="1"/>
  <c r="N194" i="1"/>
  <c r="O194" i="1"/>
  <c r="P194" i="1"/>
  <c r="Q194" i="1"/>
  <c r="J195" i="1"/>
  <c r="K195" i="1"/>
  <c r="L195" i="1"/>
  <c r="M195" i="1"/>
  <c r="N195" i="1"/>
  <c r="O195" i="1"/>
  <c r="P195" i="1"/>
  <c r="Q195" i="1"/>
  <c r="J196" i="1"/>
  <c r="K196" i="1"/>
  <c r="L196" i="1"/>
  <c r="M196" i="1"/>
  <c r="N196" i="1"/>
  <c r="O196" i="1"/>
  <c r="P196" i="1"/>
  <c r="Q196" i="1"/>
  <c r="J197" i="1"/>
  <c r="K197" i="1"/>
  <c r="L197" i="1"/>
  <c r="M197" i="1"/>
  <c r="N197" i="1"/>
  <c r="O197" i="1"/>
  <c r="P197" i="1"/>
  <c r="Q197" i="1"/>
  <c r="J198" i="1"/>
  <c r="K198" i="1"/>
  <c r="L198" i="1"/>
  <c r="M198" i="1"/>
  <c r="N198" i="1"/>
  <c r="O198" i="1"/>
  <c r="P198" i="1"/>
  <c r="Q198" i="1"/>
  <c r="J199" i="1"/>
  <c r="K199" i="1"/>
  <c r="L199" i="1"/>
  <c r="M199" i="1"/>
  <c r="N199" i="1"/>
  <c r="O199" i="1"/>
  <c r="P199" i="1"/>
  <c r="Q199" i="1"/>
  <c r="J200" i="1"/>
  <c r="K200" i="1"/>
  <c r="L200" i="1"/>
  <c r="M200" i="1"/>
  <c r="N200" i="1"/>
  <c r="O200" i="1"/>
  <c r="P200" i="1"/>
  <c r="Q200" i="1"/>
  <c r="J201" i="1"/>
  <c r="K201" i="1"/>
  <c r="L201" i="1"/>
  <c r="M201" i="1"/>
  <c r="N201" i="1"/>
  <c r="O201" i="1"/>
  <c r="P201" i="1"/>
  <c r="Q201" i="1"/>
  <c r="J202" i="1"/>
  <c r="K202" i="1"/>
  <c r="L202" i="1"/>
  <c r="M202" i="1"/>
  <c r="N202" i="1"/>
  <c r="O202" i="1"/>
  <c r="P202" i="1"/>
  <c r="Q202" i="1"/>
  <c r="J203" i="1"/>
  <c r="K203" i="1"/>
  <c r="L203" i="1"/>
  <c r="M203" i="1"/>
  <c r="N203" i="1"/>
  <c r="O203" i="1"/>
  <c r="P203" i="1"/>
  <c r="Q203" i="1"/>
  <c r="J204" i="1"/>
  <c r="K204" i="1"/>
  <c r="L204" i="1"/>
  <c r="M204" i="1"/>
  <c r="N204" i="1"/>
  <c r="O204" i="1"/>
  <c r="P204" i="1"/>
  <c r="Q204" i="1"/>
  <c r="J205" i="1"/>
  <c r="K205" i="1"/>
  <c r="L205" i="1"/>
  <c r="M205" i="1"/>
  <c r="N205" i="1"/>
  <c r="O205" i="1"/>
  <c r="P205" i="1"/>
  <c r="Q205" i="1"/>
  <c r="J206" i="1"/>
  <c r="K206" i="1"/>
  <c r="L206" i="1"/>
  <c r="M206" i="1"/>
  <c r="N206" i="1"/>
  <c r="O206" i="1"/>
  <c r="P206" i="1"/>
  <c r="Q206" i="1"/>
  <c r="J207" i="1"/>
  <c r="K207" i="1"/>
  <c r="L207" i="1"/>
  <c r="M207" i="1"/>
  <c r="N207" i="1"/>
  <c r="O207" i="1"/>
  <c r="P207" i="1"/>
  <c r="Q207" i="1"/>
  <c r="J208" i="1"/>
  <c r="K208" i="1"/>
  <c r="L208" i="1"/>
  <c r="M208" i="1"/>
  <c r="N208" i="1"/>
  <c r="O208" i="1"/>
  <c r="P208" i="1"/>
  <c r="Q208" i="1"/>
  <c r="J209" i="1"/>
  <c r="K209" i="1"/>
  <c r="L209" i="1"/>
  <c r="M209" i="1"/>
  <c r="N209" i="1"/>
  <c r="O209" i="1"/>
  <c r="P209" i="1"/>
  <c r="Q209" i="1"/>
  <c r="J210" i="1"/>
  <c r="K210" i="1"/>
  <c r="L210" i="1"/>
  <c r="M210" i="1"/>
  <c r="N210" i="1"/>
  <c r="O210" i="1"/>
  <c r="P210" i="1"/>
  <c r="Q210" i="1"/>
  <c r="J211" i="1"/>
  <c r="K211" i="1"/>
  <c r="L211" i="1"/>
  <c r="M211" i="1"/>
  <c r="N211" i="1"/>
  <c r="O211" i="1"/>
  <c r="P211" i="1"/>
  <c r="Q211" i="1"/>
  <c r="J212" i="1"/>
  <c r="K212" i="1"/>
  <c r="L212" i="1"/>
  <c r="M212" i="1"/>
  <c r="N212" i="1"/>
  <c r="O212" i="1"/>
  <c r="P212" i="1"/>
  <c r="Q212" i="1"/>
  <c r="J213" i="1"/>
  <c r="K213" i="1"/>
  <c r="L213" i="1"/>
  <c r="M213" i="1"/>
  <c r="N213" i="1"/>
  <c r="O213" i="1"/>
  <c r="P213" i="1"/>
  <c r="Q213" i="1"/>
  <c r="J214" i="1"/>
  <c r="K214" i="1"/>
  <c r="L214" i="1"/>
  <c r="M214" i="1"/>
  <c r="N214" i="1"/>
  <c r="O214" i="1"/>
  <c r="P214" i="1"/>
  <c r="Q214" i="1"/>
  <c r="J215" i="1"/>
  <c r="K215" i="1"/>
  <c r="L215" i="1"/>
  <c r="M215" i="1"/>
  <c r="N215" i="1"/>
  <c r="O215" i="1"/>
  <c r="P215" i="1"/>
  <c r="Q215" i="1"/>
  <c r="J216" i="1"/>
  <c r="K216" i="1"/>
  <c r="L216" i="1"/>
  <c r="M216" i="1"/>
  <c r="N216" i="1"/>
  <c r="O216" i="1"/>
  <c r="P216" i="1"/>
  <c r="Q216" i="1"/>
  <c r="J217" i="1"/>
  <c r="K217" i="1"/>
  <c r="L217" i="1"/>
  <c r="M217" i="1"/>
  <c r="N217" i="1"/>
  <c r="O217" i="1"/>
  <c r="P217" i="1"/>
  <c r="Q217" i="1"/>
  <c r="J218" i="1"/>
  <c r="K218" i="1"/>
  <c r="L218" i="1"/>
  <c r="M218" i="1"/>
  <c r="N218" i="1"/>
  <c r="O218" i="1"/>
  <c r="P218" i="1"/>
  <c r="Q218" i="1"/>
  <c r="J219" i="1"/>
  <c r="K219" i="1"/>
  <c r="L219" i="1"/>
  <c r="M219" i="1"/>
  <c r="N219" i="1"/>
  <c r="O219" i="1"/>
  <c r="P219" i="1"/>
  <c r="Q219" i="1"/>
  <c r="J220" i="1"/>
  <c r="K220" i="1"/>
  <c r="L220" i="1"/>
  <c r="M220" i="1"/>
  <c r="N220" i="1"/>
  <c r="O220" i="1"/>
  <c r="P220" i="1"/>
  <c r="Q220" i="1"/>
  <c r="J221" i="1"/>
  <c r="K221" i="1"/>
  <c r="L221" i="1"/>
  <c r="M221" i="1"/>
  <c r="N221" i="1"/>
  <c r="O221" i="1"/>
  <c r="P221" i="1"/>
  <c r="Q221" i="1"/>
  <c r="J222" i="1"/>
  <c r="K222" i="1"/>
  <c r="L222" i="1"/>
  <c r="M222" i="1"/>
  <c r="N222" i="1"/>
  <c r="O222" i="1"/>
  <c r="P222" i="1"/>
  <c r="Q222" i="1"/>
  <c r="J223" i="1"/>
  <c r="K223" i="1"/>
  <c r="L223" i="1"/>
  <c r="M223" i="1"/>
  <c r="N223" i="1"/>
  <c r="O223" i="1"/>
  <c r="P223" i="1"/>
  <c r="Q223" i="1"/>
  <c r="J224" i="1"/>
  <c r="K224" i="1"/>
  <c r="L224" i="1"/>
  <c r="M224" i="1"/>
  <c r="N224" i="1"/>
  <c r="O224" i="1"/>
  <c r="P224" i="1"/>
  <c r="Q224" i="1"/>
  <c r="J225" i="1"/>
  <c r="K225" i="1"/>
  <c r="L225" i="1"/>
  <c r="M225" i="1"/>
  <c r="N225" i="1"/>
  <c r="O225" i="1"/>
  <c r="P225" i="1"/>
  <c r="Q225" i="1"/>
  <c r="J226" i="1"/>
  <c r="K226" i="1"/>
  <c r="L226" i="1"/>
  <c r="M226" i="1"/>
  <c r="N226" i="1"/>
  <c r="O226" i="1"/>
  <c r="P226" i="1"/>
  <c r="Q226" i="1"/>
  <c r="J227" i="1"/>
  <c r="K227" i="1"/>
  <c r="L227" i="1"/>
  <c r="M227" i="1"/>
  <c r="N227" i="1"/>
  <c r="O227" i="1"/>
  <c r="P227" i="1"/>
  <c r="Q227" i="1"/>
  <c r="J228" i="1"/>
  <c r="K228" i="1"/>
  <c r="L228" i="1"/>
  <c r="M228" i="1"/>
  <c r="N228" i="1"/>
  <c r="O228" i="1"/>
  <c r="P228" i="1"/>
  <c r="Q228" i="1"/>
  <c r="J229" i="1"/>
  <c r="K229" i="1"/>
  <c r="L229" i="1"/>
  <c r="M229" i="1"/>
  <c r="N229" i="1"/>
  <c r="O229" i="1"/>
  <c r="P229" i="1"/>
  <c r="Q229" i="1"/>
  <c r="J230" i="1"/>
  <c r="K230" i="1"/>
  <c r="L230" i="1"/>
  <c r="M230" i="1"/>
  <c r="N230" i="1"/>
  <c r="O230" i="1"/>
  <c r="P230" i="1"/>
  <c r="Q230" i="1"/>
  <c r="J231" i="1"/>
  <c r="K231" i="1"/>
  <c r="L231" i="1"/>
  <c r="M231" i="1"/>
  <c r="N231" i="1"/>
  <c r="O231" i="1"/>
  <c r="P231" i="1"/>
  <c r="Q231" i="1"/>
  <c r="J232" i="1"/>
  <c r="K232" i="1"/>
  <c r="L232" i="1"/>
  <c r="M232" i="1"/>
  <c r="N232" i="1"/>
  <c r="O232" i="1"/>
  <c r="P232" i="1"/>
  <c r="Q232" i="1"/>
  <c r="J233" i="1"/>
  <c r="K233" i="1"/>
  <c r="L233" i="1"/>
  <c r="M233" i="1"/>
  <c r="N233" i="1"/>
  <c r="O233" i="1"/>
  <c r="P233" i="1"/>
  <c r="Q233" i="1"/>
  <c r="J234" i="1"/>
  <c r="K234" i="1"/>
  <c r="L234" i="1"/>
  <c r="M234" i="1"/>
  <c r="N234" i="1"/>
  <c r="O234" i="1"/>
  <c r="P234" i="1"/>
  <c r="Q234" i="1"/>
  <c r="J235" i="1"/>
  <c r="K235" i="1"/>
  <c r="L235" i="1"/>
  <c r="M235" i="1"/>
  <c r="N235" i="1"/>
  <c r="O235" i="1"/>
  <c r="P235" i="1"/>
  <c r="Q235" i="1"/>
  <c r="J236" i="1"/>
  <c r="K236" i="1"/>
  <c r="L236" i="1"/>
  <c r="M236" i="1"/>
  <c r="N236" i="1"/>
  <c r="O236" i="1"/>
  <c r="P236" i="1"/>
  <c r="Q236" i="1"/>
  <c r="J237" i="1"/>
  <c r="K237" i="1"/>
  <c r="L237" i="1"/>
  <c r="M237" i="1"/>
  <c r="N237" i="1"/>
  <c r="O237" i="1"/>
  <c r="P237" i="1"/>
  <c r="Q237" i="1"/>
  <c r="J238" i="1"/>
  <c r="K238" i="1"/>
  <c r="L238" i="1"/>
  <c r="M238" i="1"/>
  <c r="N238" i="1"/>
  <c r="O238" i="1"/>
  <c r="P238" i="1"/>
  <c r="Q238" i="1"/>
  <c r="J239" i="1"/>
  <c r="K239" i="1"/>
  <c r="L239" i="1"/>
  <c r="M239" i="1"/>
  <c r="N239" i="1"/>
  <c r="O239" i="1"/>
  <c r="P239" i="1"/>
  <c r="Q239" i="1"/>
  <c r="J240" i="1"/>
  <c r="K240" i="1"/>
  <c r="L240" i="1"/>
  <c r="M240" i="1"/>
  <c r="N240" i="1"/>
  <c r="O240" i="1"/>
  <c r="P240" i="1"/>
  <c r="Q240" i="1"/>
  <c r="J241" i="1"/>
  <c r="K241" i="1"/>
  <c r="L241" i="1"/>
  <c r="M241" i="1"/>
  <c r="N241" i="1"/>
  <c r="O241" i="1"/>
  <c r="P241" i="1"/>
  <c r="Q241" i="1"/>
  <c r="J242" i="1"/>
  <c r="K242" i="1"/>
  <c r="L242" i="1"/>
  <c r="M242" i="1"/>
  <c r="N242" i="1"/>
  <c r="O242" i="1"/>
  <c r="P242" i="1"/>
  <c r="Q242" i="1"/>
  <c r="J243" i="1"/>
  <c r="K243" i="1"/>
  <c r="L243" i="1"/>
  <c r="M243" i="1"/>
  <c r="N243" i="1"/>
  <c r="O243" i="1"/>
  <c r="P243" i="1"/>
  <c r="Q243" i="1"/>
  <c r="J244" i="1"/>
  <c r="K244" i="1"/>
  <c r="L244" i="1"/>
  <c r="M244" i="1"/>
  <c r="N244" i="1"/>
  <c r="O244" i="1"/>
  <c r="P244" i="1"/>
  <c r="Q244" i="1"/>
  <c r="J245" i="1"/>
  <c r="K245" i="1"/>
  <c r="L245" i="1"/>
  <c r="M245" i="1"/>
  <c r="N245" i="1"/>
  <c r="O245" i="1"/>
  <c r="P245" i="1"/>
  <c r="Q245" i="1"/>
  <c r="J246" i="1"/>
  <c r="K246" i="1"/>
  <c r="L246" i="1"/>
  <c r="M246" i="1"/>
  <c r="N246" i="1"/>
  <c r="O246" i="1"/>
  <c r="P246" i="1"/>
  <c r="Q246" i="1"/>
  <c r="J247" i="1"/>
  <c r="K247" i="1"/>
  <c r="L247" i="1"/>
  <c r="M247" i="1"/>
  <c r="N247" i="1"/>
  <c r="O247" i="1"/>
  <c r="P247" i="1"/>
  <c r="Q247" i="1"/>
  <c r="J248" i="1"/>
  <c r="K248" i="1"/>
  <c r="L248" i="1"/>
  <c r="M248" i="1"/>
  <c r="N248" i="1"/>
  <c r="O248" i="1"/>
  <c r="P248" i="1"/>
  <c r="Q248" i="1"/>
  <c r="J249" i="1"/>
  <c r="K249" i="1"/>
  <c r="L249" i="1"/>
  <c r="M249" i="1"/>
  <c r="N249" i="1"/>
  <c r="O249" i="1"/>
  <c r="P249" i="1"/>
  <c r="Q249" i="1"/>
  <c r="J250" i="1"/>
  <c r="K250" i="1"/>
  <c r="L250" i="1"/>
  <c r="M250" i="1"/>
  <c r="N250" i="1"/>
  <c r="O250" i="1"/>
  <c r="P250" i="1"/>
  <c r="Q250" i="1"/>
  <c r="J251" i="1"/>
  <c r="K251" i="1"/>
  <c r="L251" i="1"/>
  <c r="M251" i="1"/>
  <c r="N251" i="1"/>
  <c r="O251" i="1"/>
  <c r="P251" i="1"/>
  <c r="Q251" i="1"/>
  <c r="J252" i="1"/>
  <c r="K252" i="1"/>
  <c r="L252" i="1"/>
  <c r="M252" i="1"/>
  <c r="N252" i="1"/>
  <c r="O252" i="1"/>
  <c r="P252" i="1"/>
  <c r="Q252" i="1"/>
  <c r="J253" i="1"/>
  <c r="K253" i="1"/>
  <c r="L253" i="1"/>
  <c r="M253" i="1"/>
  <c r="N253" i="1"/>
  <c r="O253" i="1"/>
  <c r="P253" i="1"/>
  <c r="Q253" i="1"/>
  <c r="J254" i="1"/>
  <c r="K254" i="1"/>
  <c r="L254" i="1"/>
  <c r="M254" i="1"/>
  <c r="N254" i="1"/>
  <c r="O254" i="1"/>
  <c r="P254" i="1"/>
  <c r="Q254" i="1"/>
  <c r="J255" i="1"/>
  <c r="K255" i="1"/>
  <c r="L255" i="1"/>
  <c r="M255" i="1"/>
  <c r="N255" i="1"/>
  <c r="O255" i="1"/>
  <c r="P255" i="1"/>
  <c r="Q255" i="1"/>
  <c r="J256" i="1"/>
  <c r="K256" i="1"/>
  <c r="L256" i="1"/>
  <c r="M256" i="1"/>
  <c r="N256" i="1"/>
  <c r="O256" i="1"/>
  <c r="P256" i="1"/>
  <c r="Q256" i="1"/>
  <c r="J257" i="1"/>
  <c r="K257" i="1"/>
  <c r="L257" i="1"/>
  <c r="M257" i="1"/>
  <c r="N257" i="1"/>
  <c r="O257" i="1"/>
  <c r="P257" i="1"/>
  <c r="Q257" i="1"/>
  <c r="J258" i="1"/>
  <c r="K258" i="1"/>
  <c r="L258" i="1"/>
  <c r="M258" i="1"/>
  <c r="N258" i="1"/>
  <c r="O258" i="1"/>
  <c r="P258" i="1"/>
  <c r="Q258" i="1"/>
  <c r="J259" i="1"/>
  <c r="K259" i="1"/>
  <c r="L259" i="1"/>
  <c r="M259" i="1"/>
  <c r="N259" i="1"/>
  <c r="O259" i="1"/>
  <c r="P259" i="1"/>
  <c r="Q259" i="1"/>
  <c r="J260" i="1"/>
  <c r="K260" i="1"/>
  <c r="L260" i="1"/>
  <c r="M260" i="1"/>
  <c r="N260" i="1"/>
  <c r="O260" i="1"/>
  <c r="P260" i="1"/>
  <c r="Q260" i="1"/>
  <c r="J261" i="1"/>
  <c r="K261" i="1"/>
  <c r="L261" i="1"/>
  <c r="M261" i="1"/>
  <c r="N261" i="1"/>
  <c r="O261" i="1"/>
  <c r="P261" i="1"/>
  <c r="Q261" i="1"/>
  <c r="J262" i="1"/>
  <c r="K262" i="1"/>
  <c r="L262" i="1"/>
  <c r="M262" i="1"/>
  <c r="N262" i="1"/>
  <c r="O262" i="1"/>
  <c r="P262" i="1"/>
  <c r="Q262" i="1"/>
  <c r="J263" i="1"/>
  <c r="K263" i="1"/>
  <c r="L263" i="1"/>
  <c r="M263" i="1"/>
  <c r="N263" i="1"/>
  <c r="O263" i="1"/>
  <c r="P263" i="1"/>
  <c r="Q263" i="1"/>
  <c r="J264" i="1"/>
  <c r="K264" i="1"/>
  <c r="L264" i="1"/>
  <c r="M264" i="1"/>
  <c r="N264" i="1"/>
  <c r="O264" i="1"/>
  <c r="P264" i="1"/>
  <c r="Q264" i="1"/>
  <c r="J265" i="1"/>
  <c r="K265" i="1"/>
  <c r="L265" i="1"/>
  <c r="M265" i="1"/>
  <c r="N265" i="1"/>
  <c r="O265" i="1"/>
  <c r="P265" i="1"/>
  <c r="Q265" i="1"/>
  <c r="J266" i="1"/>
  <c r="K266" i="1"/>
  <c r="L266" i="1"/>
  <c r="M266" i="1"/>
  <c r="N266" i="1"/>
  <c r="O266" i="1"/>
  <c r="P266" i="1"/>
  <c r="Q266" i="1"/>
  <c r="J267" i="1"/>
  <c r="K267" i="1"/>
  <c r="L267" i="1"/>
  <c r="M267" i="1"/>
  <c r="N267" i="1"/>
  <c r="O267" i="1"/>
  <c r="P267" i="1"/>
  <c r="Q267" i="1"/>
  <c r="J268" i="1"/>
  <c r="K268" i="1"/>
  <c r="L268" i="1"/>
  <c r="M268" i="1"/>
  <c r="N268" i="1"/>
  <c r="O268" i="1"/>
  <c r="P268" i="1"/>
  <c r="Q268" i="1"/>
  <c r="J269" i="1"/>
  <c r="K269" i="1"/>
  <c r="L269" i="1"/>
  <c r="M269" i="1"/>
  <c r="N269" i="1"/>
  <c r="O269" i="1"/>
  <c r="P269" i="1"/>
  <c r="Q269" i="1"/>
  <c r="J270" i="1"/>
  <c r="K270" i="1"/>
  <c r="L270" i="1"/>
  <c r="M270" i="1"/>
  <c r="N270" i="1"/>
  <c r="O270" i="1"/>
  <c r="P270" i="1"/>
  <c r="Q270" i="1"/>
  <c r="J271" i="1"/>
  <c r="K271" i="1"/>
  <c r="L271" i="1"/>
  <c r="M271" i="1"/>
  <c r="N271" i="1"/>
  <c r="O271" i="1"/>
  <c r="P271" i="1"/>
  <c r="Q271" i="1"/>
  <c r="J272" i="1"/>
  <c r="K272" i="1"/>
  <c r="L272" i="1"/>
  <c r="M272" i="1"/>
  <c r="N272" i="1"/>
  <c r="O272" i="1"/>
  <c r="P272" i="1"/>
  <c r="Q272" i="1"/>
  <c r="J273" i="1"/>
  <c r="K273" i="1"/>
  <c r="L273" i="1"/>
  <c r="M273" i="1"/>
  <c r="N273" i="1"/>
  <c r="O273" i="1"/>
  <c r="P273" i="1"/>
  <c r="Q273" i="1"/>
  <c r="J274" i="1"/>
  <c r="K274" i="1"/>
  <c r="L274" i="1"/>
  <c r="M274" i="1"/>
  <c r="N274" i="1"/>
  <c r="O274" i="1"/>
  <c r="P274" i="1"/>
  <c r="Q274" i="1"/>
  <c r="J275" i="1"/>
  <c r="K275" i="1"/>
  <c r="L275" i="1"/>
  <c r="M275" i="1"/>
  <c r="N275" i="1"/>
  <c r="O275" i="1"/>
  <c r="P275" i="1"/>
  <c r="Q275" i="1"/>
  <c r="J276" i="1"/>
  <c r="K276" i="1"/>
  <c r="L276" i="1"/>
  <c r="M276" i="1"/>
  <c r="N276" i="1"/>
  <c r="O276" i="1"/>
  <c r="P276" i="1"/>
  <c r="Q276" i="1"/>
  <c r="J277" i="1"/>
  <c r="K277" i="1"/>
  <c r="L277" i="1"/>
  <c r="M277" i="1"/>
  <c r="N277" i="1"/>
  <c r="O277" i="1"/>
  <c r="P277" i="1"/>
  <c r="Q277" i="1"/>
  <c r="J278" i="1"/>
  <c r="K278" i="1"/>
  <c r="L278" i="1"/>
  <c r="M278" i="1"/>
  <c r="N278" i="1"/>
  <c r="O278" i="1"/>
  <c r="P278" i="1"/>
  <c r="Q278" i="1"/>
  <c r="J279" i="1"/>
  <c r="K279" i="1"/>
  <c r="L279" i="1"/>
  <c r="M279" i="1"/>
  <c r="N279" i="1"/>
  <c r="O279" i="1"/>
  <c r="P279" i="1"/>
  <c r="Q279" i="1"/>
  <c r="J280" i="1"/>
  <c r="K280" i="1"/>
  <c r="L280" i="1"/>
  <c r="M280" i="1"/>
  <c r="N280" i="1"/>
  <c r="O280" i="1"/>
  <c r="P280" i="1"/>
  <c r="Q280" i="1"/>
  <c r="J281" i="1"/>
  <c r="K281" i="1"/>
  <c r="L281" i="1"/>
  <c r="M281" i="1"/>
  <c r="N281" i="1"/>
  <c r="O281" i="1"/>
  <c r="P281" i="1"/>
  <c r="Q281" i="1"/>
  <c r="J282" i="1"/>
  <c r="K282" i="1"/>
  <c r="L282" i="1"/>
  <c r="M282" i="1"/>
  <c r="N282" i="1"/>
  <c r="O282" i="1"/>
  <c r="P282" i="1"/>
  <c r="Q282" i="1"/>
  <c r="J283" i="1"/>
  <c r="K283" i="1"/>
  <c r="L283" i="1"/>
  <c r="M283" i="1"/>
  <c r="N283" i="1"/>
  <c r="O283" i="1"/>
  <c r="P283" i="1"/>
  <c r="Q283" i="1"/>
  <c r="J284" i="1"/>
  <c r="K284" i="1"/>
  <c r="L284" i="1"/>
  <c r="M284" i="1"/>
  <c r="N284" i="1"/>
  <c r="O284" i="1"/>
  <c r="P284" i="1"/>
  <c r="Q284" i="1"/>
  <c r="J285" i="1"/>
  <c r="K285" i="1"/>
  <c r="L285" i="1"/>
  <c r="M285" i="1"/>
  <c r="N285" i="1"/>
  <c r="O285" i="1"/>
  <c r="P285" i="1"/>
  <c r="Q285" i="1"/>
  <c r="J286" i="1"/>
  <c r="K286" i="1"/>
  <c r="L286" i="1"/>
  <c r="M286" i="1"/>
  <c r="N286" i="1"/>
  <c r="O286" i="1"/>
  <c r="P286" i="1"/>
  <c r="Q286" i="1"/>
  <c r="J287" i="1"/>
  <c r="K287" i="1"/>
  <c r="L287" i="1"/>
  <c r="M287" i="1"/>
  <c r="N287" i="1"/>
  <c r="O287" i="1"/>
  <c r="P287" i="1"/>
  <c r="Q287" i="1"/>
  <c r="J288" i="1"/>
  <c r="K288" i="1"/>
  <c r="L288" i="1"/>
  <c r="M288" i="1"/>
  <c r="N288" i="1"/>
  <c r="O288" i="1"/>
  <c r="P288" i="1"/>
  <c r="Q288" i="1"/>
  <c r="J289" i="1"/>
  <c r="K289" i="1"/>
  <c r="L289" i="1"/>
  <c r="M289" i="1"/>
  <c r="N289" i="1"/>
  <c r="O289" i="1"/>
  <c r="P289" i="1"/>
  <c r="Q289" i="1"/>
  <c r="J290" i="1"/>
  <c r="K290" i="1"/>
  <c r="L290" i="1"/>
  <c r="M290" i="1"/>
  <c r="N290" i="1"/>
  <c r="O290" i="1"/>
  <c r="P290" i="1"/>
  <c r="Q290" i="1"/>
  <c r="J291" i="1"/>
  <c r="K291" i="1"/>
  <c r="L291" i="1"/>
  <c r="M291" i="1"/>
  <c r="N291" i="1"/>
  <c r="O291" i="1"/>
  <c r="P291" i="1"/>
  <c r="Q291" i="1"/>
  <c r="J292" i="1"/>
  <c r="K292" i="1"/>
  <c r="L292" i="1"/>
  <c r="M292" i="1"/>
  <c r="N292" i="1"/>
  <c r="O292" i="1"/>
  <c r="P292" i="1"/>
  <c r="Q292" i="1"/>
  <c r="J293" i="1"/>
  <c r="K293" i="1"/>
  <c r="L293" i="1"/>
  <c r="M293" i="1"/>
  <c r="N293" i="1"/>
  <c r="O293" i="1"/>
  <c r="P293" i="1"/>
  <c r="Q293" i="1"/>
  <c r="J294" i="1"/>
  <c r="K294" i="1"/>
  <c r="L294" i="1"/>
  <c r="M294" i="1"/>
  <c r="N294" i="1"/>
  <c r="O294" i="1"/>
  <c r="P294" i="1"/>
  <c r="Q294" i="1"/>
  <c r="J295" i="1"/>
  <c r="K295" i="1"/>
  <c r="L295" i="1"/>
  <c r="M295" i="1"/>
  <c r="N295" i="1"/>
  <c r="O295" i="1"/>
  <c r="P295" i="1"/>
  <c r="Q295" i="1"/>
  <c r="J296" i="1"/>
  <c r="K296" i="1"/>
  <c r="L296" i="1"/>
  <c r="M296" i="1"/>
  <c r="N296" i="1"/>
  <c r="O296" i="1"/>
  <c r="P296" i="1"/>
  <c r="Q296" i="1"/>
  <c r="J297" i="1"/>
  <c r="K297" i="1"/>
  <c r="L297" i="1"/>
  <c r="M297" i="1"/>
  <c r="N297" i="1"/>
  <c r="O297" i="1"/>
  <c r="P297" i="1"/>
  <c r="Q297" i="1"/>
  <c r="J298" i="1"/>
  <c r="K298" i="1"/>
  <c r="L298" i="1"/>
  <c r="M298" i="1"/>
  <c r="N298" i="1"/>
  <c r="O298" i="1"/>
  <c r="P298" i="1"/>
  <c r="Q298" i="1"/>
  <c r="J299" i="1"/>
  <c r="K299" i="1"/>
  <c r="L299" i="1"/>
  <c r="M299" i="1"/>
  <c r="N299" i="1"/>
  <c r="O299" i="1"/>
  <c r="P299" i="1"/>
  <c r="Q299" i="1"/>
  <c r="J300" i="1"/>
  <c r="K300" i="1"/>
  <c r="L300" i="1"/>
  <c r="M300" i="1"/>
  <c r="N300" i="1"/>
  <c r="O300" i="1"/>
  <c r="P300" i="1"/>
  <c r="Q300" i="1"/>
  <c r="J301" i="1"/>
  <c r="K301" i="1"/>
  <c r="L301" i="1"/>
  <c r="M301" i="1"/>
  <c r="N301" i="1"/>
  <c r="O301" i="1"/>
  <c r="P301" i="1"/>
  <c r="Q301" i="1"/>
  <c r="J302" i="1"/>
  <c r="K302" i="1"/>
  <c r="L302" i="1"/>
  <c r="M302" i="1"/>
  <c r="N302" i="1"/>
  <c r="O302" i="1"/>
  <c r="P302" i="1"/>
  <c r="Q302" i="1"/>
  <c r="J303" i="1"/>
  <c r="K303" i="1"/>
  <c r="L303" i="1"/>
  <c r="M303" i="1"/>
  <c r="N303" i="1"/>
  <c r="O303" i="1"/>
  <c r="P303" i="1"/>
  <c r="Q303" i="1"/>
  <c r="J304" i="1"/>
  <c r="K304" i="1"/>
  <c r="L304" i="1"/>
  <c r="M304" i="1"/>
  <c r="N304" i="1"/>
  <c r="O304" i="1"/>
  <c r="P304" i="1"/>
  <c r="Q304" i="1"/>
  <c r="J305" i="1"/>
  <c r="K305" i="1"/>
  <c r="L305" i="1"/>
  <c r="M305" i="1"/>
  <c r="N305" i="1"/>
  <c r="O305" i="1"/>
  <c r="P305" i="1"/>
  <c r="Q305" i="1"/>
  <c r="J306" i="1"/>
  <c r="K306" i="1"/>
  <c r="L306" i="1"/>
  <c r="M306" i="1"/>
  <c r="N306" i="1"/>
  <c r="O306" i="1"/>
  <c r="P306" i="1"/>
  <c r="Q306" i="1"/>
  <c r="J307" i="1"/>
  <c r="K307" i="1"/>
  <c r="L307" i="1"/>
  <c r="M307" i="1"/>
  <c r="N307" i="1"/>
  <c r="O307" i="1"/>
  <c r="P307" i="1"/>
  <c r="Q307" i="1"/>
  <c r="J308" i="1"/>
  <c r="K308" i="1"/>
  <c r="L308" i="1"/>
  <c r="M308" i="1"/>
  <c r="N308" i="1"/>
  <c r="O308" i="1"/>
  <c r="P308" i="1"/>
  <c r="Q308" i="1"/>
  <c r="J309" i="1"/>
  <c r="K309" i="1"/>
  <c r="L309" i="1"/>
  <c r="M309" i="1"/>
  <c r="N309" i="1"/>
  <c r="O309" i="1"/>
  <c r="P309" i="1"/>
  <c r="Q309" i="1"/>
  <c r="J310" i="1"/>
  <c r="K310" i="1"/>
  <c r="L310" i="1"/>
  <c r="M310" i="1"/>
  <c r="N310" i="1"/>
  <c r="O310" i="1"/>
  <c r="P310" i="1"/>
  <c r="Q310" i="1"/>
  <c r="J311" i="1"/>
  <c r="K311" i="1"/>
  <c r="L311" i="1"/>
  <c r="M311" i="1"/>
  <c r="N311" i="1"/>
  <c r="O311" i="1"/>
  <c r="P311" i="1"/>
  <c r="Q311" i="1"/>
  <c r="J312" i="1"/>
  <c r="K312" i="1"/>
  <c r="L312" i="1"/>
  <c r="M312" i="1"/>
  <c r="N312" i="1"/>
  <c r="O312" i="1"/>
  <c r="P312" i="1"/>
  <c r="Q312" i="1"/>
  <c r="J313" i="1"/>
  <c r="K313" i="1"/>
  <c r="L313" i="1"/>
  <c r="M313" i="1"/>
  <c r="N313" i="1"/>
  <c r="O313" i="1"/>
  <c r="P313" i="1"/>
  <c r="Q313" i="1"/>
  <c r="J314" i="1"/>
  <c r="K314" i="1"/>
  <c r="L314" i="1"/>
  <c r="M314" i="1"/>
  <c r="N314" i="1"/>
  <c r="O314" i="1"/>
  <c r="P314" i="1"/>
  <c r="Q314" i="1"/>
  <c r="J315" i="1"/>
  <c r="K315" i="1"/>
  <c r="L315" i="1"/>
  <c r="M315" i="1"/>
  <c r="N315" i="1"/>
  <c r="O315" i="1"/>
  <c r="P315" i="1"/>
  <c r="Q315" i="1"/>
  <c r="J316" i="1"/>
  <c r="K316" i="1"/>
  <c r="L316" i="1"/>
  <c r="M316" i="1"/>
  <c r="N316" i="1"/>
  <c r="O316" i="1"/>
  <c r="P316" i="1"/>
  <c r="Q316" i="1"/>
  <c r="J317" i="1"/>
  <c r="K317" i="1"/>
  <c r="L317" i="1"/>
  <c r="M317" i="1"/>
  <c r="N317" i="1"/>
  <c r="O317" i="1"/>
  <c r="P317" i="1"/>
  <c r="Q317" i="1"/>
  <c r="J318" i="1"/>
  <c r="K318" i="1"/>
  <c r="L318" i="1"/>
  <c r="M318" i="1"/>
  <c r="N318" i="1"/>
  <c r="O318" i="1"/>
  <c r="P318" i="1"/>
  <c r="Q318" i="1"/>
  <c r="J319" i="1"/>
  <c r="K319" i="1"/>
  <c r="L319" i="1"/>
  <c r="M319" i="1"/>
  <c r="N319" i="1"/>
  <c r="O319" i="1"/>
  <c r="P319" i="1"/>
  <c r="Q319" i="1"/>
  <c r="J320" i="1"/>
  <c r="K320" i="1"/>
  <c r="L320" i="1"/>
  <c r="M320" i="1"/>
  <c r="N320" i="1"/>
  <c r="O320" i="1"/>
  <c r="P320" i="1"/>
  <c r="Q320" i="1"/>
  <c r="J321" i="1"/>
  <c r="K321" i="1"/>
  <c r="L321" i="1"/>
  <c r="M321" i="1"/>
  <c r="N321" i="1"/>
  <c r="O321" i="1"/>
  <c r="P321" i="1"/>
  <c r="Q321" i="1"/>
  <c r="J322" i="1"/>
  <c r="K322" i="1"/>
  <c r="L322" i="1"/>
  <c r="M322" i="1"/>
  <c r="N322" i="1"/>
  <c r="O322" i="1"/>
  <c r="P322" i="1"/>
  <c r="Q322" i="1"/>
  <c r="J323" i="1"/>
  <c r="K323" i="1"/>
  <c r="L323" i="1"/>
  <c r="M323" i="1"/>
  <c r="N323" i="1"/>
  <c r="O323" i="1"/>
  <c r="P323" i="1"/>
  <c r="Q323" i="1"/>
  <c r="J324" i="1"/>
  <c r="K324" i="1"/>
  <c r="L324" i="1"/>
  <c r="M324" i="1"/>
  <c r="N324" i="1"/>
  <c r="O324" i="1"/>
  <c r="P324" i="1"/>
  <c r="Q324" i="1"/>
  <c r="J325" i="1"/>
  <c r="K325" i="1"/>
  <c r="L325" i="1"/>
  <c r="M325" i="1"/>
  <c r="N325" i="1"/>
  <c r="O325" i="1"/>
  <c r="P325" i="1"/>
  <c r="Q325" i="1"/>
  <c r="J326" i="1"/>
  <c r="K326" i="1"/>
  <c r="L326" i="1"/>
  <c r="M326" i="1"/>
  <c r="N326" i="1"/>
  <c r="O326" i="1"/>
  <c r="P326" i="1"/>
  <c r="Q326" i="1"/>
  <c r="J327" i="1"/>
  <c r="K327" i="1"/>
  <c r="L327" i="1"/>
  <c r="M327" i="1"/>
  <c r="N327" i="1"/>
  <c r="O327" i="1"/>
  <c r="P327" i="1"/>
  <c r="Q327" i="1"/>
  <c r="J328" i="1"/>
  <c r="K328" i="1"/>
  <c r="L328" i="1"/>
  <c r="M328" i="1"/>
  <c r="N328" i="1"/>
  <c r="O328" i="1"/>
  <c r="P328" i="1"/>
  <c r="Q328" i="1"/>
  <c r="J329" i="1"/>
  <c r="K329" i="1"/>
  <c r="L329" i="1"/>
  <c r="M329" i="1"/>
  <c r="N329" i="1"/>
  <c r="O329" i="1"/>
  <c r="P329" i="1"/>
  <c r="Q329" i="1"/>
  <c r="J330" i="1"/>
  <c r="K330" i="1"/>
  <c r="L330" i="1"/>
  <c r="M330" i="1"/>
  <c r="N330" i="1"/>
  <c r="O330" i="1"/>
  <c r="P330" i="1"/>
  <c r="Q330" i="1"/>
  <c r="J331" i="1"/>
  <c r="K331" i="1"/>
  <c r="L331" i="1"/>
  <c r="M331" i="1"/>
  <c r="N331" i="1"/>
  <c r="O331" i="1"/>
  <c r="P331" i="1"/>
  <c r="Q331" i="1"/>
  <c r="J332" i="1"/>
  <c r="K332" i="1"/>
  <c r="L332" i="1"/>
  <c r="M332" i="1"/>
  <c r="N332" i="1"/>
  <c r="O332" i="1"/>
  <c r="P332" i="1"/>
  <c r="Q332" i="1"/>
  <c r="J333" i="1"/>
  <c r="K333" i="1"/>
  <c r="L333" i="1"/>
  <c r="M333" i="1"/>
  <c r="N333" i="1"/>
  <c r="O333" i="1"/>
  <c r="P333" i="1"/>
  <c r="Q333" i="1"/>
  <c r="J334" i="1"/>
  <c r="K334" i="1"/>
  <c r="L334" i="1"/>
  <c r="M334" i="1"/>
  <c r="N334" i="1"/>
  <c r="O334" i="1"/>
  <c r="P334" i="1"/>
  <c r="Q334" i="1"/>
  <c r="J335" i="1"/>
  <c r="K335" i="1"/>
  <c r="L335" i="1"/>
  <c r="M335" i="1"/>
  <c r="N335" i="1"/>
  <c r="O335" i="1"/>
  <c r="P335" i="1"/>
  <c r="Q335" i="1"/>
  <c r="J336" i="1"/>
  <c r="K336" i="1"/>
  <c r="L336" i="1"/>
  <c r="M336" i="1"/>
  <c r="N336" i="1"/>
  <c r="O336" i="1"/>
  <c r="P336" i="1"/>
  <c r="Q336" i="1"/>
  <c r="J337" i="1"/>
  <c r="K337" i="1"/>
  <c r="L337" i="1"/>
  <c r="M337" i="1"/>
  <c r="N337" i="1"/>
  <c r="O337" i="1"/>
  <c r="P337" i="1"/>
  <c r="Q337" i="1"/>
  <c r="J338" i="1"/>
  <c r="K338" i="1"/>
  <c r="L338" i="1"/>
  <c r="M338" i="1"/>
  <c r="N338" i="1"/>
  <c r="O338" i="1"/>
  <c r="P338" i="1"/>
  <c r="Q338" i="1"/>
  <c r="J339" i="1"/>
  <c r="K339" i="1"/>
  <c r="L339" i="1"/>
  <c r="M339" i="1"/>
  <c r="N339" i="1"/>
  <c r="O339" i="1"/>
  <c r="P339" i="1"/>
  <c r="Q339" i="1"/>
  <c r="J340" i="1"/>
  <c r="K340" i="1"/>
  <c r="L340" i="1"/>
  <c r="M340" i="1"/>
  <c r="N340" i="1"/>
  <c r="O340" i="1"/>
  <c r="P340" i="1"/>
  <c r="Q340" i="1"/>
  <c r="J341" i="1"/>
  <c r="K341" i="1"/>
  <c r="L341" i="1"/>
  <c r="M341" i="1"/>
  <c r="N341" i="1"/>
  <c r="O341" i="1"/>
  <c r="P341" i="1"/>
  <c r="Q341" i="1"/>
  <c r="J342" i="1"/>
  <c r="K342" i="1"/>
  <c r="L342" i="1"/>
  <c r="M342" i="1"/>
  <c r="N342" i="1"/>
  <c r="O342" i="1"/>
  <c r="P342" i="1"/>
  <c r="Q342" i="1"/>
  <c r="J343" i="1"/>
  <c r="K343" i="1"/>
  <c r="L343" i="1"/>
  <c r="M343" i="1"/>
  <c r="N343" i="1"/>
  <c r="O343" i="1"/>
  <c r="P343" i="1"/>
  <c r="Q343" i="1"/>
  <c r="J344" i="1"/>
  <c r="K344" i="1"/>
  <c r="L344" i="1"/>
  <c r="M344" i="1"/>
  <c r="N344" i="1"/>
  <c r="O344" i="1"/>
  <c r="P344" i="1"/>
  <c r="Q344" i="1"/>
  <c r="J345" i="1"/>
  <c r="K345" i="1"/>
  <c r="L345" i="1"/>
  <c r="M345" i="1"/>
  <c r="N345" i="1"/>
  <c r="O345" i="1"/>
  <c r="P345" i="1"/>
  <c r="Q345" i="1"/>
  <c r="J346" i="1"/>
  <c r="K346" i="1"/>
  <c r="L346" i="1"/>
  <c r="M346" i="1"/>
  <c r="N346" i="1"/>
  <c r="O346" i="1"/>
  <c r="P346" i="1"/>
  <c r="Q346" i="1"/>
  <c r="J347" i="1"/>
  <c r="K347" i="1"/>
  <c r="L347" i="1"/>
  <c r="M347" i="1"/>
  <c r="N347" i="1"/>
  <c r="O347" i="1"/>
  <c r="P347" i="1"/>
  <c r="Q347" i="1"/>
  <c r="J348" i="1"/>
  <c r="K348" i="1"/>
  <c r="L348" i="1"/>
  <c r="M348" i="1"/>
  <c r="N348" i="1"/>
  <c r="O348" i="1"/>
  <c r="P348" i="1"/>
  <c r="Q348" i="1"/>
  <c r="J349" i="1"/>
  <c r="K349" i="1"/>
  <c r="L349" i="1"/>
  <c r="M349" i="1"/>
  <c r="N349" i="1"/>
  <c r="O349" i="1"/>
  <c r="P349" i="1"/>
  <c r="Q349" i="1"/>
  <c r="J350" i="1"/>
  <c r="K350" i="1"/>
  <c r="L350" i="1"/>
  <c r="M350" i="1"/>
  <c r="N350" i="1"/>
  <c r="O350" i="1"/>
  <c r="P350" i="1"/>
  <c r="Q350" i="1"/>
  <c r="J351" i="1"/>
  <c r="K351" i="1"/>
  <c r="L351" i="1"/>
  <c r="M351" i="1"/>
  <c r="N351" i="1"/>
  <c r="O351" i="1"/>
  <c r="P351" i="1"/>
  <c r="Q351" i="1"/>
  <c r="J352" i="1"/>
  <c r="K352" i="1"/>
  <c r="L352" i="1"/>
  <c r="M352" i="1"/>
  <c r="N352" i="1"/>
  <c r="O352" i="1"/>
  <c r="P352" i="1"/>
  <c r="Q352" i="1"/>
  <c r="J353" i="1"/>
  <c r="K353" i="1"/>
  <c r="L353" i="1"/>
  <c r="M353" i="1"/>
  <c r="N353" i="1"/>
  <c r="O353" i="1"/>
  <c r="P353" i="1"/>
  <c r="Q353" i="1"/>
  <c r="J354" i="1"/>
  <c r="K354" i="1"/>
  <c r="L354" i="1"/>
  <c r="M354" i="1"/>
  <c r="N354" i="1"/>
  <c r="O354" i="1"/>
  <c r="P354" i="1"/>
  <c r="Q354" i="1"/>
  <c r="J355" i="1"/>
  <c r="K355" i="1"/>
  <c r="L355" i="1"/>
  <c r="M355" i="1"/>
  <c r="N355" i="1"/>
  <c r="O355" i="1"/>
  <c r="P355" i="1"/>
  <c r="Q355" i="1"/>
  <c r="J356" i="1"/>
  <c r="K356" i="1"/>
  <c r="L356" i="1"/>
  <c r="M356" i="1"/>
  <c r="N356" i="1"/>
  <c r="O356" i="1"/>
  <c r="P356" i="1"/>
  <c r="Q356" i="1"/>
  <c r="J357" i="1"/>
  <c r="K357" i="1"/>
  <c r="L357" i="1"/>
  <c r="M357" i="1"/>
  <c r="N357" i="1"/>
  <c r="O357" i="1"/>
  <c r="P357" i="1"/>
  <c r="Q357" i="1"/>
  <c r="J358" i="1"/>
  <c r="K358" i="1"/>
  <c r="L358" i="1"/>
  <c r="M358" i="1"/>
  <c r="N358" i="1"/>
  <c r="O358" i="1"/>
  <c r="P358" i="1"/>
  <c r="Q358" i="1"/>
  <c r="J359" i="1"/>
  <c r="K359" i="1"/>
  <c r="L359" i="1"/>
  <c r="M359" i="1"/>
  <c r="N359" i="1"/>
  <c r="O359" i="1"/>
  <c r="P359" i="1"/>
  <c r="Q359" i="1"/>
  <c r="J360" i="1"/>
  <c r="K360" i="1"/>
  <c r="L360" i="1"/>
  <c r="M360" i="1"/>
  <c r="N360" i="1"/>
  <c r="O360" i="1"/>
  <c r="P360" i="1"/>
  <c r="Q360" i="1"/>
  <c r="J361" i="1"/>
  <c r="K361" i="1"/>
  <c r="L361" i="1"/>
  <c r="M361" i="1"/>
  <c r="N361" i="1"/>
  <c r="O361" i="1"/>
  <c r="P361" i="1"/>
  <c r="Q361" i="1"/>
  <c r="J362" i="1"/>
  <c r="K362" i="1"/>
  <c r="L362" i="1"/>
  <c r="M362" i="1"/>
  <c r="N362" i="1"/>
  <c r="O362" i="1"/>
  <c r="P362" i="1"/>
  <c r="Q362" i="1"/>
  <c r="J363" i="1"/>
  <c r="K363" i="1"/>
  <c r="L363" i="1"/>
  <c r="M363" i="1"/>
  <c r="N363" i="1"/>
  <c r="O363" i="1"/>
  <c r="P363" i="1"/>
  <c r="Q363" i="1"/>
  <c r="J364" i="1"/>
  <c r="K364" i="1"/>
  <c r="L364" i="1"/>
  <c r="M364" i="1"/>
  <c r="N364" i="1"/>
  <c r="O364" i="1"/>
  <c r="P364" i="1"/>
  <c r="Q364" i="1"/>
  <c r="J365" i="1"/>
  <c r="K365" i="1"/>
  <c r="L365" i="1"/>
  <c r="M365" i="1"/>
  <c r="N365" i="1"/>
  <c r="O365" i="1"/>
  <c r="P365" i="1"/>
  <c r="Q365" i="1"/>
  <c r="J366" i="1"/>
  <c r="K366" i="1"/>
  <c r="L366" i="1"/>
  <c r="M366" i="1"/>
  <c r="N366" i="1"/>
  <c r="O366" i="1"/>
  <c r="P366" i="1"/>
  <c r="Q366" i="1"/>
  <c r="J367" i="1"/>
  <c r="K367" i="1"/>
  <c r="L367" i="1"/>
  <c r="M367" i="1"/>
  <c r="N367" i="1"/>
  <c r="O367" i="1"/>
  <c r="P367" i="1"/>
  <c r="Q367" i="1"/>
  <c r="L2" i="1"/>
  <c r="M2" i="1"/>
  <c r="N2" i="1"/>
  <c r="O2" i="1"/>
  <c r="P2" i="1"/>
  <c r="Q2" i="1"/>
  <c r="K2" i="1"/>
  <c r="J2" i="1"/>
</calcChain>
</file>

<file path=xl/sharedStrings.xml><?xml version="1.0" encoding="utf-8"?>
<sst xmlns="http://schemas.openxmlformats.org/spreadsheetml/2006/main" count="13" uniqueCount="8">
  <si>
    <t>time_hours</t>
  </si>
  <si>
    <t>Semi Major Axes:</t>
  </si>
  <si>
    <t>Mercury</t>
  </si>
  <si>
    <t>Venus</t>
  </si>
  <si>
    <t>Earth</t>
  </si>
  <si>
    <t>Mars</t>
  </si>
  <si>
    <t>Jupiter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</si>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</sst>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Mercury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horizons_error_log2!$J$2:$J$367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horizons_error_log2!$L$2:$L$367</c:f>
              <c:numCache>
                <c:formatCode>General</c:formatCode>
                <c:ptCount val="366"/>
                <c:pt idx="0">
                  <c:v>0</c:v>
                </c:pt>
                <c:pt idx="1">
                  <c:v>2.528161488504238E-8</c:v>
                </c:pt>
                <c:pt idx="2">
                  <c:v>1.0209376306151537E-7</c:v>
                </c:pt>
                <c:pt idx="3">
                  <c:v>2.3223568715030212E-7</c:v>
                </c:pt>
                <c:pt idx="4">
                  <c:v>4.1800518403575598E-7</c:v>
                </c:pt>
                <c:pt idx="5">
                  <c:v>6.6223961529096928E-7</c:v>
                </c:pt>
                <c:pt idx="6">
                  <c:v>9.6835281717169121E-7</c:v>
                </c:pt>
                <c:pt idx="7">
                  <c:v>1.3403648998222525E-6</c:v>
                </c:pt>
                <c:pt idx="8">
                  <c:v>1.782921212956718E-6</c:v>
                </c:pt>
                <c:pt idx="9">
                  <c:v>2.3012959412463166E-6</c:v>
                </c:pt>
                <c:pt idx="10">
                  <c:v>2.9013748967468047E-6</c:v>
                </c:pt>
                <c:pt idx="11">
                  <c:v>3.5896112101634627E-6</c:v>
                </c:pt>
                <c:pt idx="12">
                  <c:v>4.3729469489383022E-6</c:v>
                </c:pt>
                <c:pt idx="13">
                  <c:v>5.2586931761822527E-6</c:v>
                </c:pt>
                <c:pt idx="14">
                  <c:v>6.2543611587797189E-6</c:v>
                </c:pt>
                <c:pt idx="15">
                  <c:v>7.3674383777750671E-6</c:v>
                </c:pt>
                <c:pt idx="16">
                  <c:v>8.6051053124216587E-6</c:v>
                </c:pt>
                <c:pt idx="17">
                  <c:v>9.9738929646564173E-6</c:v>
                </c:pt>
                <c:pt idx="18">
                  <c:v>1.1479286992693048E-5</c:v>
                </c:pt>
                <c:pt idx="19">
                  <c:v>1.3125292401487567E-5</c:v>
                </c:pt>
                <c:pt idx="20">
                  <c:v>1.4913982262617179E-5</c:v>
                </c:pt>
                <c:pt idx="21">
                  <c:v>1.6845063997073261E-5</c:v>
                </c:pt>
                <c:pt idx="22">
                  <c:v>1.8915505516449933E-5</c:v>
                </c:pt>
                <c:pt idx="23">
                  <c:v>2.1119267954619588E-5</c:v>
                </c:pt>
                <c:pt idx="24">
                  <c:v>2.3447190417062432E-5</c:v>
                </c:pt>
                <c:pt idx="25">
                  <c:v>2.5887061841769852E-5</c:v>
                </c:pt>
                <c:pt idx="26">
                  <c:v>2.8423896761240978E-5</c:v>
                </c:pt>
                <c:pt idx="27">
                  <c:v>3.1040407155574393E-5</c:v>
                </c:pt>
                <c:pt idx="28">
                  <c:v>3.3717636003305545E-5</c:v>
                </c:pt>
                <c:pt idx="29">
                  <c:v>3.6435695618161501E-5</c:v>
                </c:pt>
                <c:pt idx="30">
                  <c:v>3.9174540535051866E-5</c:v>
                </c:pt>
                <c:pt idx="31">
                  <c:v>4.1914702878961894E-5</c:v>
                </c:pt>
                <c:pt idx="32">
                  <c:v>4.4637928974638703E-5</c:v>
                </c:pt>
                <c:pt idx="33">
                  <c:v>4.732767451452086E-5</c:v>
                </c:pt>
                <c:pt idx="34">
                  <c:v>4.9969438485050734E-5</c:v>
                </c:pt>
                <c:pt idx="35">
                  <c:v>5.2550937384968919E-5</c:v>
                </c:pt>
                <c:pt idx="36">
                  <c:v>5.5062137936007149E-5</c:v>
                </c:pt>
                <c:pt idx="37">
                  <c:v>5.7495176546456081E-5</c:v>
                </c:pt>
                <c:pt idx="38">
                  <c:v>5.9844197561711827E-5</c:v>
                </c:pt>
                <c:pt idx="39">
                  <c:v>6.2105141240001332E-5</c:v>
                </c:pt>
                <c:pt idx="40">
                  <c:v>6.4275507767443452E-5</c:v>
                </c:pt>
                <c:pt idx="41">
                  <c:v>6.635411791365762E-5</c:v>
                </c:pt>
                <c:pt idx="42">
                  <c:v>6.8340884773409092E-5</c:v>
                </c:pt>
                <c:pt idx="43">
                  <c:v>7.0236605673304814E-5</c:v>
                </c:pt>
                <c:pt idx="44">
                  <c:v>7.2042778988523398E-5</c:v>
                </c:pt>
                <c:pt idx="45">
                  <c:v>7.3761447424749337E-5</c:v>
                </c:pt>
                <c:pt idx="46">
                  <c:v>7.5395067145649737E-5</c:v>
                </c:pt>
                <c:pt idx="47">
                  <c:v>7.6946400821542791E-5</c:v>
                </c:pt>
                <c:pt idx="48">
                  <c:v>7.8418431980285425E-5</c:v>
                </c:pt>
                <c:pt idx="49">
                  <c:v>7.9814297787018709E-5</c:v>
                </c:pt>
                <c:pt idx="50">
                  <c:v>8.1137237439933159E-5</c:v>
                </c:pt>
                <c:pt idx="51">
                  <c:v>8.2390553548159095E-5</c:v>
                </c:pt>
                <c:pt idx="52">
                  <c:v>8.3577584167086235E-5</c:v>
                </c:pt>
                <c:pt idx="53">
                  <c:v>8.4701683479074865E-5</c:v>
                </c:pt>
                <c:pt idx="54">
                  <c:v>8.576620941802874E-5</c:v>
                </c:pt>
                <c:pt idx="55">
                  <c:v>8.6774516829391044E-5</c:v>
                </c:pt>
                <c:pt idx="56">
                  <c:v>8.772995502617312E-5</c:v>
                </c:pt>
                <c:pt idx="57">
                  <c:v>8.863586879308288E-5</c:v>
                </c:pt>
                <c:pt idx="58">
                  <c:v>8.9495602110635693E-5</c:v>
                </c:pt>
                <c:pt idx="59">
                  <c:v>9.0312504008223257E-5</c:v>
                </c:pt>
                <c:pt idx="60">
                  <c:v>9.1089936061660429E-5</c:v>
                </c:pt>
                <c:pt idx="61">
                  <c:v>9.1831281184788095E-5</c:v>
                </c:pt>
                <c:pt idx="62">
                  <c:v>9.2539953422256674E-5</c:v>
                </c:pt>
                <c:pt idx="63">
                  <c:v>9.3219408523454543E-5</c:v>
                </c:pt>
                <c:pt idx="64">
                  <c:v>9.387315507622862E-5</c:v>
                </c:pt>
                <c:pt idx="65">
                  <c:v>9.4504766112147058E-5</c:v>
                </c:pt>
                <c:pt idx="66">
                  <c:v>9.511789099574198E-5</c:v>
                </c:pt>
                <c:pt idx="67">
                  <c:v>9.5716267529262039E-5</c:v>
                </c:pt>
                <c:pt idx="68">
                  <c:v>9.6303734138244651E-5</c:v>
                </c:pt>
                <c:pt idx="69">
                  <c:v>9.6884242052618986E-5</c:v>
                </c:pt>
                <c:pt idx="70">
                  <c:v>9.7461867357053484E-5</c:v>
                </c:pt>
                <c:pt idx="71">
                  <c:v>9.8040822799554811E-5</c:v>
                </c:pt>
                <c:pt idx="72">
                  <c:v>9.8625469220898395E-5</c:v>
                </c:pt>
                <c:pt idx="73">
                  <c:v>9.9220326436704547E-5</c:v>
                </c:pt>
                <c:pt idx="74">
                  <c:v>9.9830083416159083E-5</c:v>
                </c:pt>
                <c:pt idx="75">
                  <c:v>1.0045960753132955E-4</c:v>
                </c:pt>
                <c:pt idx="76">
                  <c:v>1.0111395264468583E-4</c:v>
                </c:pt>
                <c:pt idx="77">
                  <c:v>1.017983657633583E-4</c:v>
                </c:pt>
                <c:pt idx="78">
                  <c:v>1.0251829193562635E-4</c:v>
                </c:pt>
                <c:pt idx="79">
                  <c:v>1.0327937703992848E-4</c:v>
                </c:pt>
                <c:pt idx="80">
                  <c:v>1.0408746803467179E-4</c:v>
                </c:pt>
                <c:pt idx="81">
                  <c:v>1.0494861021594118E-4</c:v>
                </c:pt>
                <c:pt idx="82">
                  <c:v>1.0586904090813904E-4</c:v>
                </c:pt>
                <c:pt idx="83">
                  <c:v>1.0685517898734626E-4</c:v>
                </c:pt>
                <c:pt idx="84">
                  <c:v>1.0791360949403811E-4</c:v>
                </c:pt>
                <c:pt idx="85">
                  <c:v>1.0905106249702139E-4</c:v>
                </c:pt>
                <c:pt idx="86">
                  <c:v>1.1027438521774531E-4</c:v>
                </c:pt>
                <c:pt idx="87">
                  <c:v>1.1159050627322058E-4</c:v>
                </c:pt>
                <c:pt idx="88">
                  <c:v>1.1300639065321188E-4</c:v>
                </c:pt>
                <c:pt idx="89">
                  <c:v>1.1452898384165106E-4</c:v>
                </c:pt>
                <c:pt idx="90">
                  <c:v>1.1616514317782419E-4</c:v>
                </c:pt>
                <c:pt idx="91">
                  <c:v>1.1792155426821191E-4</c:v>
                </c:pt>
                <c:pt idx="92">
                  <c:v>1.1980462985576003E-4</c:v>
                </c:pt>
                <c:pt idx="93">
                  <c:v>1.2182038828645589E-4</c:v>
                </c:pt>
                <c:pt idx="94">
                  <c:v>1.239743083125448E-4</c:v>
                </c:pt>
                <c:pt idx="95">
                  <c:v>1.2627115683315108E-4</c:v>
                </c:pt>
                <c:pt idx="96">
                  <c:v>1.2871478616213703E-4</c:v>
                </c:pt>
                <c:pt idx="97">
                  <c:v>1.3130789773212366E-4</c:v>
                </c:pt>
                <c:pt idx="98">
                  <c:v>1.3405177005085161E-4</c:v>
                </c:pt>
                <c:pt idx="99">
                  <c:v>1.3694595039098263E-4</c:v>
                </c:pt>
                <c:pt idx="100">
                  <c:v>1.3998791238845721E-4</c:v>
                </c:pt>
                <c:pt idx="101">
                  <c:v>1.4317268583463101E-4</c:v>
                </c:pt>
                <c:pt idx="102">
                  <c:v>1.4649247057829879E-4</c:v>
                </c:pt>
                <c:pt idx="103">
                  <c:v>1.4993625386194721E-4</c:v>
                </c:pt>
                <c:pt idx="104">
                  <c:v>1.5348945924689706E-4</c:v>
                </c:pt>
                <c:pt idx="105">
                  <c:v>1.5713366501100801E-4</c:v>
                </c:pt>
                <c:pt idx="106">
                  <c:v>1.6084643902190975E-4</c:v>
                </c:pt>
                <c:pt idx="107">
                  <c:v>1.6460134364758891E-4</c:v>
                </c:pt>
                <c:pt idx="108">
                  <c:v>1.6836816521672391E-4</c:v>
                </c:pt>
                <c:pt idx="109">
                  <c:v>1.7211341493185027E-4</c:v>
                </c:pt>
                <c:pt idx="110">
                  <c:v>1.7580112946923195E-4</c:v>
                </c:pt>
                <c:pt idx="111">
                  <c:v>1.7939396844757888E-4</c:v>
                </c:pt>
                <c:pt idx="112">
                  <c:v>1.8285456571256483E-4</c:v>
                </c:pt>
                <c:pt idx="113">
                  <c:v>1.8614704676502542E-4</c:v>
                </c:pt>
                <c:pt idx="114">
                  <c:v>1.8923858580314305E-4</c:v>
                </c:pt>
                <c:pt idx="115">
                  <c:v>1.9210085271873732E-4</c:v>
                </c:pt>
                <c:pt idx="116">
                  <c:v>1.9471120112361031E-4</c:v>
                </c:pt>
                <c:pt idx="117">
                  <c:v>1.970534761668536E-4</c:v>
                </c:pt>
                <c:pt idx="118">
                  <c:v>1.9911837118286832E-4</c:v>
                </c:pt>
                <c:pt idx="119">
                  <c:v>2.0090332325795922E-4</c:v>
                </c:pt>
                <c:pt idx="120">
                  <c:v>2.0241199793174933E-4</c:v>
                </c:pt>
                <c:pt idx="121">
                  <c:v>2.0365345779920586E-4</c:v>
                </c:pt>
                <c:pt idx="122">
                  <c:v>2.0464113373433422E-4</c:v>
                </c:pt>
                <c:pt idx="123">
                  <c:v>2.0539171880770189E-4</c:v>
                </c:pt>
                <c:pt idx="124">
                  <c:v>2.0592408868841375E-4</c:v>
                </c:pt>
                <c:pt idx="125">
                  <c:v>2.0625832558256551E-4</c:v>
                </c:pt>
                <c:pt idx="126">
                  <c:v>2.0641489295711697E-4</c:v>
                </c:pt>
                <c:pt idx="127">
                  <c:v>2.0641398121562033E-4</c:v>
                </c:pt>
                <c:pt idx="128">
                  <c:v>2.0627502317236966E-4</c:v>
                </c:pt>
                <c:pt idx="129">
                  <c:v>2.0601636396450068E-4</c:v>
                </c:pt>
                <c:pt idx="130">
                  <c:v>2.056550621808877E-4</c:v>
                </c:pt>
                <c:pt idx="131">
                  <c:v>2.0520679618741243E-4</c:v>
                </c:pt>
                <c:pt idx="132">
                  <c:v>2.0468585036885495E-4</c:v>
                </c:pt>
                <c:pt idx="133">
                  <c:v>2.0410515875269249E-4</c:v>
                </c:pt>
                <c:pt idx="134">
                  <c:v>2.0347638719079813E-4</c:v>
                </c:pt>
                <c:pt idx="135">
                  <c:v>2.028100391714171E-4</c:v>
                </c:pt>
                <c:pt idx="136">
                  <c:v>2.0211557393818918E-4</c:v>
                </c:pt>
                <c:pt idx="137">
                  <c:v>2.0140152871136495E-4</c:v>
                </c:pt>
                <c:pt idx="138">
                  <c:v>2.006756393296076E-4</c:v>
                </c:pt>
                <c:pt idx="139">
                  <c:v>1.9994495562790506E-4</c:v>
                </c:pt>
                <c:pt idx="140">
                  <c:v>1.9921594931613569E-4</c:v>
                </c:pt>
                <c:pt idx="141">
                  <c:v>1.9849461323804545E-4</c:v>
                </c:pt>
                <c:pt idx="142">
                  <c:v>1.97786551569496E-4</c:v>
                </c:pt>
                <c:pt idx="143">
                  <c:v>1.9709706109471723E-4</c:v>
                </c:pt>
                <c:pt idx="144">
                  <c:v>1.9643120393951738E-4</c:v>
                </c:pt>
                <c:pt idx="145">
                  <c:v>1.9579387234852674E-4</c:v>
                </c:pt>
                <c:pt idx="146">
                  <c:v>1.9518984616090978E-4</c:v>
                </c:pt>
                <c:pt idx="147">
                  <c:v>1.9462384367975266E-4</c:v>
                </c:pt>
                <c:pt idx="148">
                  <c:v>1.9410056657145653E-4</c:v>
                </c:pt>
                <c:pt idx="149">
                  <c:v>1.9362473943021255E-4</c:v>
                </c:pt>
                <c:pt idx="150">
                  <c:v>1.9320114451097192E-4</c:v>
                </c:pt>
                <c:pt idx="151">
                  <c:v>1.9283465213210962E-4</c:v>
                </c:pt>
                <c:pt idx="152">
                  <c:v>1.9253024713996455E-4</c:v>
                </c:pt>
                <c:pt idx="153">
                  <c:v>1.9229305174189106E-4</c:v>
                </c:pt>
                <c:pt idx="154">
                  <c:v>1.9212834501058424E-4</c:v>
                </c:pt>
                <c:pt idx="155">
                  <c:v>1.9204157920838836E-4</c:v>
                </c:pt>
                <c:pt idx="156">
                  <c:v>1.9203839312688571E-4</c:v>
                </c:pt>
                <c:pt idx="157">
                  <c:v>1.9212462248285628E-4</c:v>
                </c:pt>
                <c:pt idx="158">
                  <c:v>1.9230630747927809E-4</c:v>
                </c:pt>
                <c:pt idx="159">
                  <c:v>1.9258969749399597E-4</c:v>
                </c:pt>
                <c:pt idx="160">
                  <c:v>1.9298125289887965E-4</c:v>
                </c:pt>
                <c:pt idx="161">
                  <c:v>1.9348764396132152E-4</c:v>
                </c:pt>
                <c:pt idx="162">
                  <c:v>1.941157467254385E-4</c:v>
                </c:pt>
                <c:pt idx="163">
                  <c:v>1.9487263578000402E-4</c:v>
                </c:pt>
                <c:pt idx="164">
                  <c:v>1.9576557375406819E-4</c:v>
                </c:pt>
                <c:pt idx="165">
                  <c:v>1.9680199735390774E-4</c:v>
                </c:pt>
                <c:pt idx="166">
                  <c:v>1.9798949970117045E-4</c:v>
                </c:pt>
                <c:pt idx="167">
                  <c:v>1.9933580866072993E-4</c:v>
                </c:pt>
                <c:pt idx="168">
                  <c:v>2.0084876075312233E-4</c:v>
                </c:pt>
                <c:pt idx="169">
                  <c:v>2.0253627013312769E-4</c:v>
                </c:pt>
                <c:pt idx="170">
                  <c:v>2.0440629195961631E-4</c:v>
                </c:pt>
                <c:pt idx="171">
                  <c:v>2.0646677927493715E-4</c:v>
                </c:pt>
                <c:pt idx="172">
                  <c:v>2.0872563226565641E-4</c:v>
                </c:pt>
                <c:pt idx="173">
                  <c:v>2.1119063848749133E-4</c:v>
                </c:pt>
                <c:pt idx="174">
                  <c:v>2.1386940221862098E-4</c:v>
                </c:pt>
                <c:pt idx="175">
                  <c:v>2.1676926070037032E-4</c:v>
                </c:pt>
                <c:pt idx="176">
                  <c:v>2.1989718448720455E-4</c:v>
                </c:pt>
                <c:pt idx="177">
                  <c:v>2.2325965857489708E-4</c:v>
                </c:pt>
                <c:pt idx="178">
                  <c:v>2.2686254030721993E-4</c:v>
                </c:pt>
                <c:pt idx="179">
                  <c:v>2.3071088945038635E-4</c:v>
                </c:pt>
                <c:pt idx="180">
                  <c:v>2.3480876516169321E-4</c:v>
                </c:pt>
                <c:pt idx="181">
                  <c:v>2.391589841445528E-4</c:v>
                </c:pt>
                <c:pt idx="182">
                  <c:v>2.4376283386034223E-4</c:v>
                </c:pt>
                <c:pt idx="183">
                  <c:v>2.4861973484513505E-4</c:v>
                </c:pt>
                <c:pt idx="184">
                  <c:v>2.5372684681462901E-4</c:v>
                </c:pt>
                <c:pt idx="185">
                  <c:v>2.5907861484299866E-4</c:v>
                </c:pt>
                <c:pt idx="186">
                  <c:v>2.646662547854726E-4</c:v>
                </c:pt>
                <c:pt idx="187">
                  <c:v>2.7047718168128344E-4</c:v>
                </c:pt>
                <c:pt idx="188">
                  <c:v>2.764943917469385E-4</c:v>
                </c:pt>
                <c:pt idx="189">
                  <c:v>2.8269581799320856E-4</c:v>
                </c:pt>
                <c:pt idx="190">
                  <c:v>2.8905369187671391E-4</c:v>
                </c:pt>
                <c:pt idx="191">
                  <c:v>2.9553395851254142E-4</c:v>
                </c:pt>
                <c:pt idx="192">
                  <c:v>3.0209580992075806E-4</c:v>
                </c:pt>
                <c:pt idx="193">
                  <c:v>3.0869141777567781E-4</c:v>
                </c:pt>
                <c:pt idx="194">
                  <c:v>3.1526596078021592E-4</c:v>
                </c:pt>
                <c:pt idx="195">
                  <c:v>3.2175804768413632E-4</c:v>
                </c:pt>
                <c:pt idx="196">
                  <c:v>3.2810062923715306E-4</c:v>
                </c:pt>
                <c:pt idx="197">
                  <c:v>3.3422246582841177E-4</c:v>
                </c:pt>
                <c:pt idx="198">
                  <c:v>3.400501685162005E-4</c:v>
                </c:pt>
                <c:pt idx="199">
                  <c:v>3.4551076043161968E-4</c:v>
                </c:pt>
                <c:pt idx="200">
                  <c:v>3.5053462116008886E-4</c:v>
                </c:pt>
                <c:pt idx="201">
                  <c:v>3.550585924905094E-4</c:v>
                </c:pt>
                <c:pt idx="202">
                  <c:v>3.5902896043808893E-4</c:v>
                </c:pt>
                <c:pt idx="203">
                  <c:v>3.6240400500781484E-4</c:v>
                </c:pt>
                <c:pt idx="204">
                  <c:v>3.6515583836724063E-4</c:v>
                </c:pt>
                <c:pt idx="205">
                  <c:v>3.6727133425151868E-4</c:v>
                </c:pt>
                <c:pt idx="206">
                  <c:v>3.6875207142371793E-4</c:v>
                </c:pt>
                <c:pt idx="207">
                  <c:v>3.6961334502231549E-4</c:v>
                </c:pt>
                <c:pt idx="208">
                  <c:v>3.6988241490503273E-4</c:v>
                </c:pt>
                <c:pt idx="209">
                  <c:v>3.6959623481236365E-4</c:v>
                </c:pt>
                <c:pt idx="210">
                  <c:v>3.6879893270106015E-4</c:v>
                </c:pt>
                <c:pt idx="211">
                  <c:v>3.6753929329221924E-4</c:v>
                </c:pt>
                <c:pt idx="212">
                  <c:v>3.6586844238008025E-4</c:v>
                </c:pt>
                <c:pt idx="213">
                  <c:v>3.6383786580426204E-4</c:v>
                </c:pt>
                <c:pt idx="214">
                  <c:v>3.614978295201718E-4</c:v>
                </c:pt>
                <c:pt idx="215">
                  <c:v>3.5889621144284223E-4</c:v>
                </c:pt>
                <c:pt idx="216">
                  <c:v>3.5607771570532687E-4</c:v>
                </c:pt>
                <c:pt idx="217">
                  <c:v>3.5308341605895521E-4</c:v>
                </c:pt>
                <c:pt idx="218">
                  <c:v>3.4995056488419451E-4</c:v>
                </c:pt>
                <c:pt idx="219">
                  <c:v>3.467126038911664E-4</c:v>
                </c:pt>
                <c:pt idx="220">
                  <c:v>3.4339931853431349E-4</c:v>
                </c:pt>
                <c:pt idx="221">
                  <c:v>3.4003708716586633E-4</c:v>
                </c:pt>
                <c:pt idx="222">
                  <c:v>3.3664918594650337E-4</c:v>
                </c:pt>
                <c:pt idx="223">
                  <c:v>3.3325611997892782E-4</c:v>
                </c:pt>
                <c:pt idx="224">
                  <c:v>3.2987595945037232E-4</c:v>
                </c:pt>
                <c:pt idx="225">
                  <c:v>3.2652466630590441E-4</c:v>
                </c:pt>
                <c:pt idx="226">
                  <c:v>3.2321640227937163E-4</c:v>
                </c:pt>
                <c:pt idx="227">
                  <c:v>3.1996381303607817E-4</c:v>
                </c:pt>
                <c:pt idx="228">
                  <c:v>3.1677828598715039E-4</c:v>
                </c:pt>
                <c:pt idx="229">
                  <c:v>3.1367018128986831E-4</c:v>
                </c:pt>
                <c:pt idx="230">
                  <c:v>3.1064903675879412E-4</c:v>
                </c:pt>
                <c:pt idx="231">
                  <c:v>3.0772374818619917E-4</c:v>
                </c:pt>
                <c:pt idx="232">
                  <c:v>3.0490272694726206E-4</c:v>
                </c:pt>
                <c:pt idx="233">
                  <c:v>3.0219403690583558E-4</c:v>
                </c:pt>
                <c:pt idx="234">
                  <c:v>2.9960551263579144E-4</c:v>
                </c:pt>
                <c:pt idx="235">
                  <c:v>2.9714486083196528E-4</c:v>
                </c:pt>
                <c:pt idx="236">
                  <c:v>2.9481974663509558E-4</c:v>
                </c:pt>
                <c:pt idx="237">
                  <c:v>2.9263786635719789E-4</c:v>
                </c:pt>
                <c:pt idx="238">
                  <c:v>2.9060700793308552E-4</c:v>
                </c:pt>
                <c:pt idx="239">
                  <c:v>2.8873510018587303E-4</c:v>
                </c:pt>
                <c:pt idx="240">
                  <c:v>2.8703025182595253E-4</c:v>
                </c:pt>
                <c:pt idx="241">
                  <c:v>2.8550078096713905E-4</c:v>
                </c:pt>
                <c:pt idx="242">
                  <c:v>2.8415523576792647E-4</c:v>
                </c:pt>
                <c:pt idx="243">
                  <c:v>2.8300240676624728E-4</c:v>
                </c:pt>
                <c:pt idx="244">
                  <c:v>2.8205133133538303E-4</c:v>
                </c:pt>
                <c:pt idx="245">
                  <c:v>2.8131129070244786E-4</c:v>
                </c:pt>
                <c:pt idx="246">
                  <c:v>2.8079179991934161E-4</c:v>
                </c:pt>
                <c:pt idx="247">
                  <c:v>2.8050259119829683E-4</c:v>
                </c:pt>
                <c:pt idx="248">
                  <c:v>2.8045359101509023E-4</c:v>
                </c:pt>
                <c:pt idx="249">
                  <c:v>2.8065489144764305E-4</c:v>
                </c:pt>
                <c:pt idx="250">
                  <c:v>2.8111671620949664E-4</c:v>
                </c:pt>
                <c:pt idx="251">
                  <c:v>2.818493818861711E-4</c:v>
                </c:pt>
                <c:pt idx="252">
                  <c:v>2.8286325484868583E-4</c:v>
                </c:pt>
                <c:pt idx="253">
                  <c:v>2.8416870430122927E-4</c:v>
                </c:pt>
                <c:pt idx="254">
                  <c:v>2.8577605182007623E-4</c:v>
                </c:pt>
                <c:pt idx="255">
                  <c:v>2.876955175941504E-4</c:v>
                </c:pt>
                <c:pt idx="256">
                  <c:v>2.8993716336230349E-4</c:v>
                </c:pt>
                <c:pt idx="257">
                  <c:v>2.9251083173616844E-4</c:v>
                </c:pt>
                <c:pt idx="258">
                  <c:v>2.9542608118635695E-4</c:v>
                </c:pt>
                <c:pt idx="259">
                  <c:v>2.9869211550917848E-4</c:v>
                </c:pt>
                <c:pt idx="260">
                  <c:v>3.0231770598466442E-4</c:v>
                </c:pt>
                <c:pt idx="261">
                  <c:v>3.0631110371311164E-4</c:v>
                </c:pt>
                <c:pt idx="262">
                  <c:v>3.1067993890505484E-4</c:v>
                </c:pt>
                <c:pt idx="263">
                  <c:v>3.154311029666798E-4</c:v>
                </c:pt>
                <c:pt idx="264">
                  <c:v>3.2057060829525868E-4</c:v>
                </c:pt>
                <c:pt idx="265">
                  <c:v>3.2610341972357556E-4</c:v>
                </c:pt>
                <c:pt idx="266">
                  <c:v>3.3203325052566578E-4</c:v>
                </c:pt>
                <c:pt idx="267">
                  <c:v>3.3836231494666178E-4</c:v>
                </c:pt>
                <c:pt idx="268">
                  <c:v>3.4509102835585429E-4</c:v>
                </c:pt>
                <c:pt idx="269">
                  <c:v>3.5221764554477941E-4</c:v>
                </c:pt>
                <c:pt idx="270">
                  <c:v>3.5973782754050802E-4</c:v>
                </c:pt>
                <c:pt idx="271">
                  <c:v>3.6764412780370922E-4</c:v>
                </c:pt>
                <c:pt idx="272">
                  <c:v>3.7592539029733285E-4</c:v>
                </c:pt>
                <c:pt idx="273">
                  <c:v>3.8456605498515172E-4</c:v>
                </c:pt>
                <c:pt idx="274">
                  <c:v>3.9354537149757486E-4</c:v>
                </c:pt>
                <c:pt idx="275">
                  <c:v>4.0283652970284225E-4</c:v>
                </c:pt>
                <c:pt idx="276">
                  <c:v>4.1240572733504144E-4</c:v>
                </c:pt>
                <c:pt idx="277">
                  <c:v>4.2221121036761029E-4</c:v>
                </c:pt>
                <c:pt idx="278">
                  <c:v>4.3220234166596724E-4</c:v>
                </c:pt>
                <c:pt idx="279">
                  <c:v>4.4231877726153473E-4</c:v>
                </c:pt>
                <c:pt idx="280">
                  <c:v>4.5248985560248191E-4</c:v>
                </c:pt>
                <c:pt idx="281">
                  <c:v>4.626343303171557E-4</c:v>
                </c:pt>
                <c:pt idx="282">
                  <c:v>4.726605958815408E-4</c:v>
                </c:pt>
                <c:pt idx="283">
                  <c:v>4.8246756071639301E-4</c:v>
                </c:pt>
                <c:pt idx="284">
                  <c:v>4.9194630515878273E-4</c:v>
                </c:pt>
                <c:pt idx="285">
                  <c:v>5.0098261389329543E-4</c:v>
                </c:pt>
                <c:pt idx="286">
                  <c:v>5.0946038988477008E-4</c:v>
                </c:pt>
                <c:pt idx="287">
                  <c:v>5.1726584164448462E-4</c:v>
                </c:pt>
                <c:pt idx="288">
                  <c:v>5.2429220220266508E-4</c:v>
                </c:pt>
                <c:pt idx="289">
                  <c:v>5.3044460968615706E-4</c:v>
                </c:pt>
                <c:pt idx="290">
                  <c:v>5.3564468827604482E-4</c:v>
                </c:pt>
                <c:pt idx="291">
                  <c:v>5.3983434420271721E-4</c:v>
                </c:pt>
                <c:pt idx="292">
                  <c:v>5.4297835206792912E-4</c:v>
                </c:pt>
                <c:pt idx="293">
                  <c:v>5.450654487914599E-4</c:v>
                </c:pt>
                <c:pt idx="294">
                  <c:v>5.4610784958884762E-4</c:v>
                </c:pt>
                <c:pt idx="295">
                  <c:v>5.4613930862621189E-4</c:v>
                </c:pt>
                <c:pt idx="296">
                  <c:v>5.4521202328195384E-4</c:v>
                </c:pt>
                <c:pt idx="297">
                  <c:v>5.4339278928653876E-4</c:v>
                </c:pt>
                <c:pt idx="298">
                  <c:v>5.4075884379488771E-4</c:v>
                </c:pt>
                <c:pt idx="299">
                  <c:v>5.3739379190373057E-4</c:v>
                </c:pt>
                <c:pt idx="300">
                  <c:v>5.3338392229623126E-4</c:v>
                </c:pt>
                <c:pt idx="301">
                  <c:v>5.2881510758842512E-4</c:v>
                </c:pt>
                <c:pt idx="302">
                  <c:v>5.2377037817619187E-4</c:v>
                </c:pt>
                <c:pt idx="303">
                  <c:v>5.1832817132164445E-4</c:v>
                </c:pt>
                <c:pt idx="304">
                  <c:v>5.1256119629768582E-4</c:v>
                </c:pt>
                <c:pt idx="305">
                  <c:v>5.0653582173026273E-4</c:v>
                </c:pt>
                <c:pt idx="306">
                  <c:v>5.003118780442453E-4</c:v>
                </c:pt>
                <c:pt idx="307">
                  <c:v>4.9394276997534361E-4</c:v>
                </c:pt>
                <c:pt idx="308">
                  <c:v>4.8747580549638299E-4</c:v>
                </c:pt>
                <c:pt idx="309">
                  <c:v>4.809526631699392E-4</c:v>
                </c:pt>
                <c:pt idx="310">
                  <c:v>4.7440993668535836E-4</c:v>
                </c:pt>
                <c:pt idx="311">
                  <c:v>4.6787971084389577E-4</c:v>
                </c:pt>
                <c:pt idx="312">
                  <c:v>4.613901366219606E-4</c:v>
                </c:pt>
                <c:pt idx="313">
                  <c:v>4.5496598370904412E-4</c:v>
                </c:pt>
                <c:pt idx="314">
                  <c:v>4.4862915721717247E-4</c:v>
                </c:pt>
                <c:pt idx="315">
                  <c:v>4.423991713506457E-4</c:v>
                </c:pt>
                <c:pt idx="316">
                  <c:v>4.362935771259225E-4</c:v>
                </c:pt>
                <c:pt idx="317">
                  <c:v>4.3032834410449935E-4</c:v>
                </c:pt>
                <c:pt idx="318">
                  <c:v>4.2451819789947196E-4</c:v>
                </c:pt>
                <c:pt idx="319">
                  <c:v>4.1887691623737703E-4</c:v>
                </c:pt>
                <c:pt idx="320">
                  <c:v>4.1341758683273059E-4</c:v>
                </c:pt>
                <c:pt idx="321">
                  <c:v>4.0815283039132624E-4</c:v>
                </c:pt>
                <c:pt idx="322">
                  <c:v>4.030949919668877E-4</c:v>
                </c:pt>
                <c:pt idx="323">
                  <c:v>3.9825630352221256E-4</c:v>
                </c:pt>
                <c:pt idx="324">
                  <c:v>3.9364902026577407E-4</c:v>
                </c:pt>
                <c:pt idx="325">
                  <c:v>3.8928553284131888E-4</c:v>
                </c:pt>
                <c:pt idx="326">
                  <c:v>3.8517845714097527E-4</c:v>
                </c:pt>
                <c:pt idx="327">
                  <c:v>3.8134070310842113E-4</c:v>
                </c:pt>
                <c:pt idx="328">
                  <c:v>3.7778552362076405E-4</c:v>
                </c:pt>
                <c:pt idx="329">
                  <c:v>3.7452654431246389E-4</c:v>
                </c:pt>
                <c:pt idx="330">
                  <c:v>3.7157777503740377E-4</c:v>
                </c:pt>
                <c:pt idx="331">
                  <c:v>3.6895360361530551E-4</c:v>
                </c:pt>
                <c:pt idx="332">
                  <c:v>3.6666877253622792E-4</c:v>
                </c:pt>
                <c:pt idx="333">
                  <c:v>3.647383393855234E-4</c:v>
                </c:pt>
                <c:pt idx="334">
                  <c:v>3.631776219926571E-4</c:v>
                </c:pt>
                <c:pt idx="335">
                  <c:v>3.6200212951032618E-4</c:v>
                </c:pt>
                <c:pt idx="336">
                  <c:v>3.612274809976203E-4</c:v>
                </c:pt>
                <c:pt idx="337">
                  <c:v>3.6086931336726876E-4</c:v>
                </c:pt>
                <c:pt idx="338">
                  <c:v>3.6094318089971591E-4</c:v>
                </c:pt>
                <c:pt idx="339">
                  <c:v>3.6146444873893515E-4</c:v>
                </c:pt>
                <c:pt idx="340">
                  <c:v>3.6244818297896859E-4</c:v>
                </c:pt>
                <c:pt idx="341">
                  <c:v>3.6390903991472928E-4</c:v>
                </c:pt>
                <c:pt idx="342">
                  <c:v>3.6586115686853947E-4</c:v>
                </c:pt>
                <c:pt idx="343">
                  <c:v>3.68318046609877E-4</c:v>
                </c:pt>
                <c:pt idx="344">
                  <c:v>3.7129249675617581E-4</c:v>
                </c:pt>
                <c:pt idx="345">
                  <c:v>3.7479647469762235E-4</c:v>
                </c:pt>
                <c:pt idx="346">
                  <c:v>3.7884103754674532E-4</c:v>
                </c:pt>
                <c:pt idx="347">
                  <c:v>3.8343624532138568E-4</c:v>
                </c:pt>
                <c:pt idx="348">
                  <c:v>3.8859107425339638E-4</c:v>
                </c:pt>
                <c:pt idx="349">
                  <c:v>3.9431332556734422E-4</c:v>
                </c:pt>
                <c:pt idx="350">
                  <c:v>4.0060952356797192E-4</c:v>
                </c:pt>
                <c:pt idx="351">
                  <c:v>4.0748479534103945E-4</c:v>
                </c:pt>
                <c:pt idx="352">
                  <c:v>4.1494272284874734E-4</c:v>
                </c:pt>
                <c:pt idx="353">
                  <c:v>4.2298515677821055E-4</c:v>
                </c:pt>
                <c:pt idx="354">
                  <c:v>4.316119801913416E-4</c:v>
                </c:pt>
                <c:pt idx="355">
                  <c:v>4.4082080891109693E-4</c:v>
                </c:pt>
                <c:pt idx="356">
                  <c:v>4.5060661473244251E-4</c:v>
                </c:pt>
                <c:pt idx="357">
                  <c:v>4.6096125714227136E-4</c:v>
                </c:pt>
                <c:pt idx="358">
                  <c:v>4.7187290952298533E-4</c:v>
                </c:pt>
                <c:pt idx="359">
                  <c:v>4.8332536702784155E-4</c:v>
                </c:pt>
                <c:pt idx="360">
                  <c:v>4.9529722620754674E-4</c:v>
                </c:pt>
                <c:pt idx="361">
                  <c:v>5.0776093126033686E-4</c:v>
                </c:pt>
                <c:pt idx="362">
                  <c:v>5.2068168974615033E-4</c:v>
                </c:pt>
                <c:pt idx="363">
                  <c:v>5.3401627226863505E-4</c:v>
                </c:pt>
                <c:pt idx="364">
                  <c:v>5.477117272704138E-4</c:v>
                </c:pt>
                <c:pt idx="365">
                  <c:v>5.6170406425798066E-4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FE-44AD-A276-CF3D87C94282}"/>
            </c:ext>
          </c:extLst>
        </c:ser>
        <c:ser>
          <c:idx val="2"/>
          <c:order val="1"/>
          <c:tx>
            <c:v>Venus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horizons_error_log2!$J$2:$J$367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horizons_error_log2!$M$2:$M$367</c:f>
              <c:numCache>
                <c:formatCode>General</c:formatCode>
                <c:ptCount val="366"/>
                <c:pt idx="0">
                  <c:v>0</c:v>
                </c:pt>
                <c:pt idx="1">
                  <c:v>9.0902148316121659E-9</c:v>
                </c:pt>
                <c:pt idx="2">
                  <c:v>3.6373966917621127E-8</c:v>
                </c:pt>
                <c:pt idx="3">
                  <c:v>8.188703642278409E-8</c:v>
                </c:pt>
                <c:pt idx="4">
                  <c:v>1.4568662774033422E-7</c:v>
                </c:pt>
                <c:pt idx="5">
                  <c:v>2.2785112096874934E-7</c:v>
                </c:pt>
                <c:pt idx="6">
                  <c:v>3.2847975009107355E-7</c:v>
                </c:pt>
                <c:pt idx="7">
                  <c:v>4.4769218492515844E-7</c:v>
                </c:pt>
                <c:pt idx="8">
                  <c:v>5.85628020156857E-7</c:v>
                </c:pt>
                <c:pt idx="9">
                  <c:v>7.424461519712968E-7</c:v>
                </c:pt>
                <c:pt idx="10">
                  <c:v>9.1832409268765375E-7</c:v>
                </c:pt>
                <c:pt idx="11">
                  <c:v>1.1134572025465306E-6</c:v>
                </c:pt>
                <c:pt idx="12">
                  <c:v>1.3280578172356751E-6</c:v>
                </c:pt>
                <c:pt idx="13">
                  <c:v>1.5623543379424933E-6</c:v>
                </c:pt>
                <c:pt idx="14">
                  <c:v>1.8165902168492246E-6</c:v>
                </c:pt>
                <c:pt idx="15">
                  <c:v>2.0910229271941779E-6</c:v>
                </c:pt>
                <c:pt idx="16">
                  <c:v>2.3859228280750735E-6</c:v>
                </c:pt>
                <c:pt idx="17">
                  <c:v>2.701572083099679E-6</c:v>
                </c:pt>
                <c:pt idx="18">
                  <c:v>3.0382632706115842E-6</c:v>
                </c:pt>
                <c:pt idx="19">
                  <c:v>3.396298396797687E-6</c:v>
                </c:pt>
                <c:pt idx="20">
                  <c:v>3.7759875393829607E-6</c:v>
                </c:pt>
                <c:pt idx="21">
                  <c:v>4.177647474995969E-6</c:v>
                </c:pt>
                <c:pt idx="22">
                  <c:v>4.6016004701808292E-6</c:v>
                </c:pt>
                <c:pt idx="23">
                  <c:v>5.0481729781969388E-6</c:v>
                </c:pt>
                <c:pt idx="24">
                  <c:v>5.5176943099393182E-6</c:v>
                </c:pt>
                <c:pt idx="25">
                  <c:v>6.0104952903599127E-6</c:v>
                </c:pt>
                <c:pt idx="26">
                  <c:v>6.5269069595714377E-6</c:v>
                </c:pt>
                <c:pt idx="27">
                  <c:v>7.067259305145722E-6</c:v>
                </c:pt>
                <c:pt idx="28">
                  <c:v>7.6318799762102928E-6</c:v>
                </c:pt>
                <c:pt idx="29">
                  <c:v>8.2210930173536103E-6</c:v>
                </c:pt>
                <c:pt idx="30">
                  <c:v>8.835217601188837E-6</c:v>
                </c:pt>
                <c:pt idx="31">
                  <c:v>9.4745668148175799E-6</c:v>
                </c:pt>
                <c:pt idx="32">
                  <c:v>1.0139446533880014E-5</c:v>
                </c:pt>
                <c:pt idx="33">
                  <c:v>1.0830154249793849E-5</c:v>
                </c:pt>
                <c:pt idx="34">
                  <c:v>1.1546977883525066E-5</c:v>
                </c:pt>
                <c:pt idx="35">
                  <c:v>1.2290194785114171E-5</c:v>
                </c:pt>
                <c:pt idx="36">
                  <c:v>1.3060070659270053E-5</c:v>
                </c:pt>
                <c:pt idx="37">
                  <c:v>1.3856858562429077E-5</c:v>
                </c:pt>
                <c:pt idx="38">
                  <c:v>1.4680797965069787E-5</c:v>
                </c:pt>
                <c:pt idx="39">
                  <c:v>1.5532113804236762E-5</c:v>
                </c:pt>
                <c:pt idx="40">
                  <c:v>1.641101563062453E-5</c:v>
                </c:pt>
                <c:pt idx="41">
                  <c:v>1.7317696781342579E-5</c:v>
                </c:pt>
                <c:pt idx="42">
                  <c:v>1.8252333578671126E-5</c:v>
                </c:pt>
                <c:pt idx="43">
                  <c:v>1.9215084621283689E-5</c:v>
                </c:pt>
                <c:pt idx="44">
                  <c:v>2.0206090057713368E-5</c:v>
                </c:pt>
                <c:pt idx="45">
                  <c:v>2.1225470972887298E-5</c:v>
                </c:pt>
                <c:pt idx="46">
                  <c:v>2.2273328774683424E-5</c:v>
                </c:pt>
                <c:pt idx="47">
                  <c:v>2.3349744629370455E-5</c:v>
                </c:pt>
                <c:pt idx="48">
                  <c:v>2.4454778966561963E-5</c:v>
                </c:pt>
                <c:pt idx="49">
                  <c:v>2.5588471021213437E-5</c:v>
                </c:pt>
                <c:pt idx="50">
                  <c:v>2.6750838386516579E-5</c:v>
                </c:pt>
                <c:pt idx="51">
                  <c:v>2.7941876669975067E-5</c:v>
                </c:pt>
                <c:pt idx="52">
                  <c:v>2.9161559163518718E-5</c:v>
                </c:pt>
                <c:pt idx="53">
                  <c:v>3.0409836526912833E-5</c:v>
                </c:pt>
                <c:pt idx="54">
                  <c:v>3.1686636570814034E-5</c:v>
                </c:pt>
                <c:pt idx="55">
                  <c:v>3.2991864046938168E-5</c:v>
                </c:pt>
                <c:pt idx="56">
                  <c:v>3.432540048800167E-5</c:v>
                </c:pt>
                <c:pt idx="57">
                  <c:v>3.5687104091051336E-5</c:v>
                </c:pt>
                <c:pt idx="58">
                  <c:v>3.7076809632851669E-5</c:v>
                </c:pt>
                <c:pt idx="59">
                  <c:v>3.8494328445674068E-5</c:v>
                </c:pt>
                <c:pt idx="60">
                  <c:v>3.9939448387108691E-5</c:v>
                </c:pt>
                <c:pt idx="61">
                  <c:v>4.1411933915912236E-5</c:v>
                </c:pt>
                <c:pt idx="62">
                  <c:v>4.2911526137660223E-5</c:v>
                </c:pt>
                <c:pt idx="63">
                  <c:v>4.4437942931714373E-5</c:v>
                </c:pt>
                <c:pt idx="64">
                  <c:v>4.5990879078216916E-5</c:v>
                </c:pt>
                <c:pt idx="65">
                  <c:v>4.7570006464135359E-5</c:v>
                </c:pt>
                <c:pt idx="66">
                  <c:v>4.9174974282274195E-5</c:v>
                </c:pt>
                <c:pt idx="67">
                  <c:v>5.0805409282574065E-5</c:v>
                </c:pt>
                <c:pt idx="68">
                  <c:v>5.2460916058568251E-5</c:v>
                </c:pt>
                <c:pt idx="69">
                  <c:v>5.4141077345848526E-5</c:v>
                </c:pt>
                <c:pt idx="70">
                  <c:v>5.5845454373827739E-5</c:v>
                </c:pt>
                <c:pt idx="71">
                  <c:v>5.7573587238667916E-5</c:v>
                </c:pt>
                <c:pt idx="72">
                  <c:v>5.9324995293664376E-5</c:v>
                </c:pt>
                <c:pt idx="73">
                  <c:v>6.1099177581940844E-5</c:v>
                </c:pt>
                <c:pt idx="74">
                  <c:v>6.2895613296598795E-5</c:v>
                </c:pt>
                <c:pt idx="75">
                  <c:v>6.4713762246964307E-5</c:v>
                </c:pt>
                <c:pt idx="76">
                  <c:v>6.6553065355364971E-5</c:v>
                </c:pt>
                <c:pt idx="77">
                  <c:v>6.8412945218822857E-5</c:v>
                </c:pt>
                <c:pt idx="78">
                  <c:v>7.0292806634942513E-5</c:v>
                </c:pt>
                <c:pt idx="79">
                  <c:v>7.2192037169135692E-5</c:v>
                </c:pt>
                <c:pt idx="80">
                  <c:v>7.411000775856417E-5</c:v>
                </c:pt>
                <c:pt idx="81">
                  <c:v>7.6046073332294782E-5</c:v>
                </c:pt>
                <c:pt idx="82">
                  <c:v>7.7999573429971255E-5</c:v>
                </c:pt>
                <c:pt idx="83">
                  <c:v>7.9969832844112976E-5</c:v>
                </c:pt>
                <c:pt idx="84">
                  <c:v>8.1956162306234627E-5</c:v>
                </c:pt>
                <c:pt idx="85">
                  <c:v>8.3957859159013366E-5</c:v>
                </c:pt>
                <c:pt idx="86">
                  <c:v>8.5974208050532748E-5</c:v>
                </c:pt>
                <c:pt idx="87">
                  <c:v>8.8004481648542115E-5</c:v>
                </c:pt>
                <c:pt idx="88">
                  <c:v>9.004794135764773E-5</c:v>
                </c:pt>
                <c:pt idx="89">
                  <c:v>9.2103838057857617E-5</c:v>
                </c:pt>
                <c:pt idx="90">
                  <c:v>9.4171412845548129E-5</c:v>
                </c:pt>
                <c:pt idx="91">
                  <c:v>9.6249897799430482E-5</c:v>
                </c:pt>
                <c:pt idx="92">
                  <c:v>9.833851672713102E-5</c:v>
                </c:pt>
                <c:pt idx="93">
                  <c:v>1.0043648594835495E-4</c:v>
                </c:pt>
                <c:pt idx="94">
                  <c:v>1.0254301506561164E-4</c:v>
                </c:pt>
                <c:pt idx="95">
                  <c:v>1.0465730774770254E-4</c:v>
                </c:pt>
                <c:pt idx="96">
                  <c:v>1.067785625201444E-4</c:v>
                </c:pt>
                <c:pt idx="97">
                  <c:v>1.0890597355092179E-4</c:v>
                </c:pt>
                <c:pt idx="98">
                  <c:v>1.1103873145407419E-4</c:v>
                </c:pt>
                <c:pt idx="99">
                  <c:v>1.1317602407307219E-4</c:v>
                </c:pt>
                <c:pt idx="100">
                  <c:v>1.153170372785849E-4</c:v>
                </c:pt>
                <c:pt idx="101">
                  <c:v>1.1746095577378476E-4</c:v>
                </c:pt>
                <c:pt idx="102">
                  <c:v>1.1960696387977741E-4</c:v>
                </c:pt>
                <c:pt idx="103">
                  <c:v>1.2175424633597058E-4</c:v>
                </c:pt>
                <c:pt idx="104">
                  <c:v>1.2390198907943182E-4</c:v>
                </c:pt>
                <c:pt idx="105">
                  <c:v>1.2604938004278477E-4</c:v>
                </c:pt>
                <c:pt idx="106">
                  <c:v>1.2819560992470655E-4</c:v>
                </c:pt>
                <c:pt idx="107">
                  <c:v>1.3033987298349331E-4</c:v>
                </c:pt>
                <c:pt idx="108">
                  <c:v>1.324813677866885E-4</c:v>
                </c:pt>
                <c:pt idx="109">
                  <c:v>1.3461929798866244E-4</c:v>
                </c:pt>
                <c:pt idx="110">
                  <c:v>1.3675287308048393E-4</c:v>
                </c:pt>
                <c:pt idx="111">
                  <c:v>1.3888130913581351E-4</c:v>
                </c:pt>
                <c:pt idx="112">
                  <c:v>1.410038295611818E-4</c:v>
                </c:pt>
                <c:pt idx="113">
                  <c:v>1.4311966580455614E-4</c:v>
                </c:pt>
                <c:pt idx="114">
                  <c:v>1.4522805809087433E-4</c:v>
                </c:pt>
                <c:pt idx="115">
                  <c:v>1.4732825611995254E-4</c:v>
                </c:pt>
                <c:pt idx="116">
                  <c:v>1.4941951975971926E-4</c:v>
                </c:pt>
                <c:pt idx="117">
                  <c:v>1.5150111974625668E-4</c:v>
                </c:pt>
                <c:pt idx="118">
                  <c:v>1.5357233831751602E-4</c:v>
                </c:pt>
                <c:pt idx="119">
                  <c:v>1.5563246991371724E-4</c:v>
                </c:pt>
                <c:pt idx="120">
                  <c:v>1.5768082179028409E-4</c:v>
                </c:pt>
                <c:pt idx="121">
                  <c:v>1.5971671464428007E-4</c:v>
                </c:pt>
                <c:pt idx="122">
                  <c:v>1.6173948325970855E-4</c:v>
                </c:pt>
                <c:pt idx="123">
                  <c:v>1.6374847705880348E-4</c:v>
                </c:pt>
                <c:pt idx="124">
                  <c:v>1.6574306072439572E-4</c:v>
                </c:pt>
                <c:pt idx="125">
                  <c:v>1.6772261473830882E-4</c:v>
                </c:pt>
                <c:pt idx="126">
                  <c:v>1.6968653594471458E-4</c:v>
                </c:pt>
                <c:pt idx="127">
                  <c:v>1.7163423808259559E-4</c:v>
                </c:pt>
                <c:pt idx="128">
                  <c:v>1.7356515228574866E-4</c:v>
                </c:pt>
                <c:pt idx="129">
                  <c:v>1.754787275849064E-4</c:v>
                </c:pt>
                <c:pt idx="130">
                  <c:v>1.7737443141084758E-4</c:v>
                </c:pt>
                <c:pt idx="131">
                  <c:v>1.792517500219472E-4</c:v>
                </c:pt>
                <c:pt idx="132">
                  <c:v>1.8111018895384693E-4</c:v>
                </c:pt>
                <c:pt idx="133">
                  <c:v>1.8294927345547057E-4</c:v>
                </c:pt>
                <c:pt idx="134">
                  <c:v>1.8476854888773729E-4</c:v>
                </c:pt>
                <c:pt idx="135">
                  <c:v>1.8656758110412034E-4</c:v>
                </c:pt>
                <c:pt idx="136">
                  <c:v>1.8834595681377873E-4</c:v>
                </c:pt>
                <c:pt idx="137">
                  <c:v>1.9010328393633157E-4</c:v>
                </c:pt>
                <c:pt idx="138">
                  <c:v>1.9183919192430215E-4</c:v>
                </c:pt>
                <c:pt idx="139">
                  <c:v>1.9355333206711565E-4</c:v>
                </c:pt>
                <c:pt idx="140">
                  <c:v>1.95245377782254E-4</c:v>
                </c:pt>
                <c:pt idx="141">
                  <c:v>1.9691502487020055E-4</c:v>
                </c:pt>
                <c:pt idx="142">
                  <c:v>1.9856199177314103E-4</c:v>
                </c:pt>
                <c:pt idx="143">
                  <c:v>2.0018601978518449E-4</c:v>
                </c:pt>
                <c:pt idx="144">
                  <c:v>2.0178687327475668E-4</c:v>
                </c:pt>
                <c:pt idx="145">
                  <c:v>2.0336433984322728E-4</c:v>
                </c:pt>
                <c:pt idx="146">
                  <c:v>2.0491823051953343E-4</c:v>
                </c:pt>
                <c:pt idx="147">
                  <c:v>2.0644837987246725E-4</c:v>
                </c:pt>
                <c:pt idx="148">
                  <c:v>2.0795464614413502E-4</c:v>
                </c:pt>
                <c:pt idx="149">
                  <c:v>2.094369113509305E-4</c:v>
                </c:pt>
                <c:pt idx="150">
                  <c:v>2.1089508135944517E-4</c:v>
                </c:pt>
                <c:pt idx="151">
                  <c:v>2.1232908594159694E-4</c:v>
                </c:pt>
                <c:pt idx="152">
                  <c:v>2.1373887881135696E-4</c:v>
                </c:pt>
                <c:pt idx="153">
                  <c:v>2.1512443764254611E-4</c:v>
                </c:pt>
                <c:pt idx="154">
                  <c:v>2.1648576405683355E-4</c:v>
                </c:pt>
                <c:pt idx="155">
                  <c:v>2.1782288359825468E-4</c:v>
                </c:pt>
                <c:pt idx="156">
                  <c:v>2.1913584568045521E-4</c:v>
                </c:pt>
                <c:pt idx="157">
                  <c:v>2.2042472351649397E-4</c:v>
                </c:pt>
                <c:pt idx="158">
                  <c:v>2.2168961402446323E-4</c:v>
                </c:pt>
                <c:pt idx="159">
                  <c:v>2.229306377123496E-4</c:v>
                </c:pt>
                <c:pt idx="160">
                  <c:v>2.241479385413603E-4</c:v>
                </c:pt>
                <c:pt idx="161">
                  <c:v>2.2534168375806351E-4</c:v>
                </c:pt>
                <c:pt idx="162">
                  <c:v>2.265120637271738E-4</c:v>
                </c:pt>
                <c:pt idx="163">
                  <c:v>2.2765929171260964E-4</c:v>
                </c:pt>
                <c:pt idx="164">
                  <c:v>2.2878360366146522E-4</c:v>
                </c:pt>
                <c:pt idx="165">
                  <c:v>2.2988525795175066E-4</c:v>
                </c:pt>
                <c:pt idx="166">
                  <c:v>2.3096453512234225E-4</c:v>
                </c:pt>
                <c:pt idx="167">
                  <c:v>2.3202173758166041E-4</c:v>
                </c:pt>
                <c:pt idx="168">
                  <c:v>2.3305718928726336E-4</c:v>
                </c:pt>
                <c:pt idx="169">
                  <c:v>2.3407123542244985E-4</c:v>
                </c:pt>
                <c:pt idx="170">
                  <c:v>2.3506424201773197E-4</c:v>
                </c:pt>
                <c:pt idx="171">
                  <c:v>2.3603659558777941E-4</c:v>
                </c:pt>
                <c:pt idx="172">
                  <c:v>2.36988702719383E-4</c:v>
                </c:pt>
                <c:pt idx="173">
                  <c:v>2.3792098964938704E-4</c:v>
                </c:pt>
                <c:pt idx="174">
                  <c:v>2.3883390182459559E-4</c:v>
                </c:pt>
                <c:pt idx="175">
                  <c:v>2.3972790341753343E-4</c:v>
                </c:pt>
                <c:pt idx="176">
                  <c:v>2.4060347684830546E-4</c:v>
                </c:pt>
                <c:pt idx="177">
                  <c:v>2.4146112226802337E-4</c:v>
                </c:pt>
                <c:pt idx="178">
                  <c:v>2.4230135701932019E-4</c:v>
                </c:pt>
                <c:pt idx="179">
                  <c:v>2.4312471508430814E-4</c:v>
                </c:pt>
                <c:pt idx="180">
                  <c:v>2.4393174650448796E-4</c:v>
                </c:pt>
                <c:pt idx="181">
                  <c:v>2.4472301678459159E-4</c:v>
                </c:pt>
                <c:pt idx="182">
                  <c:v>2.4549910626305748E-4</c:v>
                </c:pt>
                <c:pt idx="183">
                  <c:v>2.4626060947668314E-4</c:v>
                </c:pt>
                <c:pt idx="184">
                  <c:v>2.4700813448565173E-4</c:v>
                </c:pt>
                <c:pt idx="185">
                  <c:v>2.4774230221367446E-4</c:v>
                </c:pt>
                <c:pt idx="186">
                  <c:v>2.4846374571530882E-4</c:v>
                </c:pt>
                <c:pt idx="187">
                  <c:v>2.4917310948719583E-4</c:v>
                </c:pt>
                <c:pt idx="188">
                  <c:v>2.4987104870202471E-4</c:v>
                </c:pt>
                <c:pt idx="189">
                  <c:v>2.5055822847184892E-4</c:v>
                </c:pt>
                <c:pt idx="190">
                  <c:v>2.5123532303976734E-4</c:v>
                </c:pt>
                <c:pt idx="191">
                  <c:v>2.5190301502407887E-4</c:v>
                </c:pt>
                <c:pt idx="192">
                  <c:v>2.5256199457794983E-4</c:v>
                </c:pt>
                <c:pt idx="193">
                  <c:v>2.5321295859092582E-4</c:v>
                </c:pt>
                <c:pt idx="194">
                  <c:v>2.5385660983381816E-4</c:v>
                </c:pt>
                <c:pt idx="195">
                  <c:v>2.5449365611308422E-4</c:v>
                </c:pt>
                <c:pt idx="196">
                  <c:v>2.5512480940908421E-4</c:v>
                </c:pt>
                <c:pt idx="197">
                  <c:v>2.5575078499718115E-4</c:v>
                </c:pt>
                <c:pt idx="198">
                  <c:v>2.5637230056044116E-4</c:v>
                </c:pt>
                <c:pt idx="199">
                  <c:v>2.5699007530344189E-4</c:v>
                </c:pt>
                <c:pt idx="200">
                  <c:v>2.5760482904252271E-4</c:v>
                </c:pt>
                <c:pt idx="201">
                  <c:v>2.5821728129660291E-4</c:v>
                </c:pt>
                <c:pt idx="202">
                  <c:v>2.5882815038856348E-4</c:v>
                </c:pt>
                <c:pt idx="203">
                  <c:v>2.5943815250921394E-4</c:v>
                </c:pt>
                <c:pt idx="204">
                  <c:v>2.6004800081005751E-4</c:v>
                </c:pt>
                <c:pt idx="205">
                  <c:v>2.6065840448320787E-4</c:v>
                </c:pt>
                <c:pt idx="206">
                  <c:v>2.6127006785128343E-4</c:v>
                </c:pt>
                <c:pt idx="207">
                  <c:v>2.6188368944066241E-4</c:v>
                </c:pt>
                <c:pt idx="208">
                  <c:v>2.6249996107712036E-4</c:v>
                </c:pt>
                <c:pt idx="209">
                  <c:v>2.6311956699333957E-4</c:v>
                </c:pt>
                <c:pt idx="210">
                  <c:v>2.637431829156377E-4</c:v>
                </c:pt>
                <c:pt idx="211">
                  <c:v>2.6437147520033091E-4</c:v>
                </c:pt>
                <c:pt idx="212">
                  <c:v>2.650050999480254E-4</c:v>
                </c:pt>
                <c:pt idx="213">
                  <c:v>2.6564470214953073E-4</c:v>
                </c:pt>
                <c:pt idx="214">
                  <c:v>2.6629091484278543E-4</c:v>
                </c:pt>
                <c:pt idx="215">
                  <c:v>2.6694435828824865E-4</c:v>
                </c:pt>
                <c:pt idx="216">
                  <c:v>2.6760563916176206E-4</c:v>
                </c:pt>
                <c:pt idx="217">
                  <c:v>2.6827534976902608E-4</c:v>
                </c:pt>
                <c:pt idx="218">
                  <c:v>2.6895406728095052E-4</c:v>
                </c:pt>
                <c:pt idx="219">
                  <c:v>2.6964235299434356E-4</c:v>
                </c:pt>
                <c:pt idx="220">
                  <c:v>2.7034075162441846E-4</c:v>
                </c:pt>
                <c:pt idx="221">
                  <c:v>2.7104979060879744E-4</c:v>
                </c:pt>
                <c:pt idx="222">
                  <c:v>2.7176997945672996E-4</c:v>
                </c:pt>
                <c:pt idx="223">
                  <c:v>2.7250180911745253E-4</c:v>
                </c:pt>
                <c:pt idx="224">
                  <c:v>2.7324575138259154E-4</c:v>
                </c:pt>
                <c:pt idx="225">
                  <c:v>2.7400225833262165E-4</c:v>
                </c:pt>
                <c:pt idx="226">
                  <c:v>2.7477176177596521E-4</c:v>
                </c:pt>
                <c:pt idx="227">
                  <c:v>2.7555467279024199E-4</c:v>
                </c:pt>
                <c:pt idx="228">
                  <c:v>2.7635138123058419E-4</c:v>
                </c:pt>
                <c:pt idx="229">
                  <c:v>2.7716225530769985E-4</c:v>
                </c:pt>
                <c:pt idx="230">
                  <c:v>2.7798764120735093E-4</c:v>
                </c:pt>
                <c:pt idx="231">
                  <c:v>2.788278627252286E-4</c:v>
                </c:pt>
                <c:pt idx="232">
                  <c:v>2.7968322094894048E-4</c:v>
                </c:pt>
                <c:pt idx="233">
                  <c:v>2.8055399398470792E-4</c:v>
                </c:pt>
                <c:pt idx="234">
                  <c:v>2.8144043669546455E-4</c:v>
                </c:pt>
                <c:pt idx="235">
                  <c:v>2.8234278050976201E-4</c:v>
                </c:pt>
                <c:pt idx="236">
                  <c:v>2.8326123323790109E-4</c:v>
                </c:pt>
                <c:pt idx="237">
                  <c:v>2.8419597894840509E-4</c:v>
                </c:pt>
                <c:pt idx="238">
                  <c:v>2.8514717784605882E-4</c:v>
                </c:pt>
                <c:pt idx="239">
                  <c:v>2.8611496622779609E-4</c:v>
                </c:pt>
                <c:pt idx="240">
                  <c:v>2.8709945644182484E-4</c:v>
                </c:pt>
                <c:pt idx="241">
                  <c:v>2.8810073688580813E-4</c:v>
                </c:pt>
                <c:pt idx="242">
                  <c:v>2.8911887203828673E-4</c:v>
                </c:pt>
                <c:pt idx="243">
                  <c:v>2.9015390252959021E-4</c:v>
                </c:pt>
                <c:pt idx="244">
                  <c:v>2.9120584524760758E-4</c:v>
                </c:pt>
                <c:pt idx="245">
                  <c:v>2.92274693437869E-4</c:v>
                </c:pt>
                <c:pt idx="246">
                  <c:v>2.9336041686969051E-4</c:v>
                </c:pt>
                <c:pt idx="247">
                  <c:v>2.9446296203105015E-4</c:v>
                </c:pt>
                <c:pt idx="248">
                  <c:v>2.9558225230283359E-4</c:v>
                </c:pt>
                <c:pt idx="249">
                  <c:v>2.967181882212988E-4</c:v>
                </c:pt>
                <c:pt idx="250">
                  <c:v>2.978706477039405E-4</c:v>
                </c:pt>
                <c:pt idx="251">
                  <c:v>2.9903948634350667E-4</c:v>
                </c:pt>
                <c:pt idx="252">
                  <c:v>3.0022453769499533E-4</c:v>
                </c:pt>
                <c:pt idx="253">
                  <c:v>3.0142561359705952E-4</c:v>
                </c:pt>
                <c:pt idx="254">
                  <c:v>3.0264250450681083E-4</c:v>
                </c:pt>
                <c:pt idx="255">
                  <c:v>3.0387497984616643E-4</c:v>
                </c:pt>
                <c:pt idx="256">
                  <c:v>3.0512278837402742E-4</c:v>
                </c:pt>
                <c:pt idx="257">
                  <c:v>3.0638565858205814E-4</c:v>
                </c:pt>
                <c:pt idx="258">
                  <c:v>3.0766329906345321E-4</c:v>
                </c:pt>
                <c:pt idx="259">
                  <c:v>3.0895539895316648E-4</c:v>
                </c:pt>
                <c:pt idx="260">
                  <c:v>3.1026162834125266E-4</c:v>
                </c:pt>
                <c:pt idx="261">
                  <c:v>3.1158163870353208E-4</c:v>
                </c:pt>
                <c:pt idx="262">
                  <c:v>3.129150633542848E-4</c:v>
                </c:pt>
                <c:pt idx="263">
                  <c:v>3.1426151789795117E-4</c:v>
                </c:pt>
                <c:pt idx="264">
                  <c:v>3.1562060070605414E-4</c:v>
                </c:pt>
                <c:pt idx="265">
                  <c:v>3.1699189338474598E-4</c:v>
                </c:pt>
                <c:pt idx="266">
                  <c:v>3.1837496125835363E-4</c:v>
                </c:pt>
                <c:pt idx="267">
                  <c:v>3.1976935387154011E-4</c:v>
                </c:pt>
                <c:pt idx="268">
                  <c:v>3.2117460548407284E-4</c:v>
                </c:pt>
                <c:pt idx="269">
                  <c:v>3.2259023558479146E-4</c:v>
                </c:pt>
                <c:pt idx="270">
                  <c:v>3.2401574940816512E-4</c:v>
                </c:pt>
                <c:pt idx="271">
                  <c:v>3.2545063845588573E-4</c:v>
                </c:pt>
                <c:pt idx="272">
                  <c:v>3.2689438103417583E-4</c:v>
                </c:pt>
                <c:pt idx="273">
                  <c:v>3.2834644280382082E-4</c:v>
                </c:pt>
                <c:pt idx="274">
                  <c:v>3.2980627730615306E-4</c:v>
                </c:pt>
                <c:pt idx="275">
                  <c:v>3.3127332654327206E-4</c:v>
                </c:pt>
                <c:pt idx="276">
                  <c:v>3.3274702152852873E-4</c:v>
                </c:pt>
                <c:pt idx="277">
                  <c:v>3.3422678286631617E-4</c:v>
                </c:pt>
                <c:pt idx="278">
                  <c:v>3.3571202132913171E-4</c:v>
                </c:pt>
                <c:pt idx="279">
                  <c:v>3.3720213845197193E-4</c:v>
                </c:pt>
                <c:pt idx="280">
                  <c:v>3.3869652712587364E-4</c:v>
                </c:pt>
                <c:pt idx="281">
                  <c:v>3.4019457221118516E-4</c:v>
                </c:pt>
                <c:pt idx="282">
                  <c:v>3.4169565114875735E-4</c:v>
                </c:pt>
                <c:pt idx="283">
                  <c:v>3.431991345900762E-4</c:v>
                </c:pt>
                <c:pt idx="284">
                  <c:v>3.4470438703525404E-4</c:v>
                </c:pt>
                <c:pt idx="285">
                  <c:v>3.4621076747167915E-4</c:v>
                </c:pt>
                <c:pt idx="286">
                  <c:v>3.4771763004112034E-4</c:v>
                </c:pt>
                <c:pt idx="287">
                  <c:v>3.4922432469028207E-4</c:v>
                </c:pt>
                <c:pt idx="288">
                  <c:v>3.5073019786105414E-4</c:v>
                </c:pt>
                <c:pt idx="289">
                  <c:v>3.5223459318485962E-4</c:v>
                </c:pt>
                <c:pt idx="290">
                  <c:v>3.5373685213248328E-4</c:v>
                </c:pt>
                <c:pt idx="291">
                  <c:v>3.5523631479535291E-4</c:v>
                </c:pt>
                <c:pt idx="292">
                  <c:v>3.5673232055222459E-4</c:v>
                </c:pt>
                <c:pt idx="293">
                  <c:v>3.5822420881331552E-4</c:v>
                </c:pt>
                <c:pt idx="294">
                  <c:v>3.597113197530421E-4</c:v>
                </c:pt>
                <c:pt idx="295">
                  <c:v>3.6119299507837298E-4</c:v>
                </c:pt>
                <c:pt idx="296">
                  <c:v>3.6266857876387967E-4</c:v>
                </c:pt>
                <c:pt idx="297">
                  <c:v>3.6413741782966778E-4</c:v>
                </c:pt>
                <c:pt idx="298">
                  <c:v>3.6559886309782955E-4</c:v>
                </c:pt>
                <c:pt idx="299">
                  <c:v>3.6705227001552007E-4</c:v>
                </c:pt>
                <c:pt idx="300">
                  <c:v>3.6849699940199064E-4</c:v>
                </c:pt>
                <c:pt idx="301">
                  <c:v>3.6993241827133023E-4</c:v>
                </c:pt>
                <c:pt idx="302">
                  <c:v>3.7135790061048062E-4</c:v>
                </c:pt>
                <c:pt idx="303">
                  <c:v>3.727728282190882E-4</c:v>
                </c:pt>
                <c:pt idx="304">
                  <c:v>3.7417659154738171E-4</c:v>
                </c:pt>
                <c:pt idx="305">
                  <c:v>3.7556859046321256E-4</c:v>
                </c:pt>
                <c:pt idx="306">
                  <c:v>3.7694823517775465E-4</c:v>
                </c:pt>
                <c:pt idx="307">
                  <c:v>3.7831494701587971E-4</c:v>
                </c:pt>
                <c:pt idx="308">
                  <c:v>3.7966815930282885E-4</c:v>
                </c:pt>
                <c:pt idx="309">
                  <c:v>3.8100731820075334E-4</c:v>
                </c:pt>
                <c:pt idx="310">
                  <c:v>3.8233188355478481E-4</c:v>
                </c:pt>
                <c:pt idx="311">
                  <c:v>3.8364132974047862E-4</c:v>
                </c:pt>
                <c:pt idx="312">
                  <c:v>3.849351465275615E-4</c:v>
                </c:pt>
                <c:pt idx="313">
                  <c:v>3.8621283991040911E-4</c:v>
                </c:pt>
                <c:pt idx="314">
                  <c:v>3.8747393295915979E-4</c:v>
                </c:pt>
                <c:pt idx="315">
                  <c:v>3.8871796665184755E-4</c:v>
                </c:pt>
                <c:pt idx="316">
                  <c:v>3.8994450073207015E-4</c:v>
                </c:pt>
                <c:pt idx="317">
                  <c:v>3.9115311452238305E-4</c:v>
                </c:pt>
                <c:pt idx="318">
                  <c:v>3.9234340776020388E-4</c:v>
                </c:pt>
                <c:pt idx="319">
                  <c:v>3.9351500141336768E-4</c:v>
                </c:pt>
                <c:pt idx="320">
                  <c:v>3.9466753848945785E-4</c:v>
                </c:pt>
                <c:pt idx="321">
                  <c:v>3.9580068484422931E-4</c:v>
                </c:pt>
                <c:pt idx="322">
                  <c:v>3.9691412996428478E-4</c:v>
                </c:pt>
                <c:pt idx="323">
                  <c:v>3.9800758774337635E-4</c:v>
                </c:pt>
                <c:pt idx="324">
                  <c:v>3.990807972495381E-4</c:v>
                </c:pt>
                <c:pt idx="325">
                  <c:v>4.0013352347693183E-4</c:v>
                </c:pt>
                <c:pt idx="326">
                  <c:v>4.0116555807623999E-4</c:v>
                </c:pt>
                <c:pt idx="327">
                  <c:v>4.0217672007087101E-4</c:v>
                </c:pt>
                <c:pt idx="328">
                  <c:v>4.0316685655375603E-4</c:v>
                </c:pt>
                <c:pt idx="329">
                  <c:v>4.0413584336620719E-4</c:v>
                </c:pt>
                <c:pt idx="330">
                  <c:v>4.0508358575391508E-4</c:v>
                </c:pt>
                <c:pt idx="331">
                  <c:v>4.0601001899789435E-4</c:v>
                </c:pt>
                <c:pt idx="332">
                  <c:v>4.0691510902514041E-4</c:v>
                </c:pt>
                <c:pt idx="333">
                  <c:v>4.0779885298974932E-4</c:v>
                </c:pt>
                <c:pt idx="334">
                  <c:v>4.0866127982850005E-4</c:v>
                </c:pt>
                <c:pt idx="335">
                  <c:v>4.0950245078937567E-4</c:v>
                </c:pt>
                <c:pt idx="336">
                  <c:v>4.1032245993248459E-4</c:v>
                </c:pt>
                <c:pt idx="337">
                  <c:v>4.1112143457592047E-4</c:v>
                </c:pt>
                <c:pt idx="338">
                  <c:v>4.1189953576137366E-4</c:v>
                </c:pt>
                <c:pt idx="339">
                  <c:v>4.1265695862217645E-4</c:v>
                </c:pt>
                <c:pt idx="340">
                  <c:v>4.1339393275034361E-4</c:v>
                </c:pt>
                <c:pt idx="341">
                  <c:v>4.1411072252779078E-4</c:v>
                </c:pt>
                <c:pt idx="342">
                  <c:v>4.1480762741200332E-4</c:v>
                </c:pt>
                <c:pt idx="343">
                  <c:v>4.1548498216201137E-4</c:v>
                </c:pt>
                <c:pt idx="344">
                  <c:v>4.1614315704799267E-4</c:v>
                </c:pt>
                <c:pt idx="345">
                  <c:v>4.1678255801083891E-4</c:v>
                </c:pt>
                <c:pt idx="346">
                  <c:v>4.1740362676055481E-4</c:v>
                </c:pt>
                <c:pt idx="347">
                  <c:v>4.1800684084408491E-4</c:v>
                </c:pt>
                <c:pt idx="348">
                  <c:v>4.1859271365460429E-4</c:v>
                </c:pt>
                <c:pt idx="349">
                  <c:v>4.1916179438887432E-4</c:v>
                </c:pt>
                <c:pt idx="350">
                  <c:v>4.1971466795713303E-4</c:v>
                </c:pt>
                <c:pt idx="351">
                  <c:v>4.202519548456083E-4</c:v>
                </c:pt>
                <c:pt idx="352">
                  <c:v>4.2077431088201404E-4</c:v>
                </c:pt>
                <c:pt idx="353">
                  <c:v>4.2128242700674532E-4</c:v>
                </c:pt>
                <c:pt idx="354">
                  <c:v>4.2177702894194717E-4</c:v>
                </c:pt>
                <c:pt idx="355">
                  <c:v>4.2225887678717445E-4</c:v>
                </c:pt>
                <c:pt idx="356">
                  <c:v>4.2272876461479144E-4</c:v>
                </c:pt>
                <c:pt idx="357">
                  <c:v>4.2318751991588302E-4</c:v>
                </c:pt>
                <c:pt idx="358">
                  <c:v>4.2363600305628544E-4</c:v>
                </c:pt>
                <c:pt idx="359">
                  <c:v>4.2407510662287703E-4</c:v>
                </c:pt>
                <c:pt idx="360">
                  <c:v>4.2450575470678138E-4</c:v>
                </c:pt>
                <c:pt idx="361">
                  <c:v>4.2492890213056218E-4</c:v>
                </c:pt>
                <c:pt idx="362">
                  <c:v>4.2534553358571927E-4</c:v>
                </c:pt>
                <c:pt idx="363">
                  <c:v>4.2575666271854547E-4</c:v>
                </c:pt>
                <c:pt idx="364">
                  <c:v>4.2616333113569652E-4</c:v>
                </c:pt>
                <c:pt idx="365">
                  <c:v>4.2656660731117582E-4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FE-44AD-A276-CF3D87C94282}"/>
            </c:ext>
          </c:extLst>
        </c:ser>
        <c:ser>
          <c:idx val="3"/>
          <c:order val="2"/>
          <c:tx>
            <c:v>Earth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horizons_error_log2!$J$2:$J$367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horizons_error_log2!$N$2:$N$367</c:f>
              <c:numCache>
                <c:formatCode>General</c:formatCode>
                <c:ptCount val="366"/>
                <c:pt idx="0">
                  <c:v>0</c:v>
                </c:pt>
                <c:pt idx="1">
                  <c:v>4.5409693975971455E-9</c:v>
                </c:pt>
                <c:pt idx="2">
                  <c:v>1.8382195077236165E-8</c:v>
                </c:pt>
                <c:pt idx="3">
                  <c:v>4.1885906270926742E-8</c:v>
                </c:pt>
                <c:pt idx="4">
                  <c:v>7.5388930451425797E-8</c:v>
                </c:pt>
                <c:pt idx="5">
                  <c:v>1.1912395212208822E-7</c:v>
                </c:pt>
                <c:pt idx="6">
                  <c:v>1.7315681859462634E-7</c:v>
                </c:pt>
                <c:pt idx="7">
                  <c:v>2.3734602772172594E-7</c:v>
                </c:pt>
                <c:pt idx="8">
                  <c:v>3.1133696951830216E-7</c:v>
                </c:pt>
                <c:pt idx="9">
                  <c:v>3.9461154036861094E-7</c:v>
                </c:pt>
                <c:pt idx="10">
                  <c:v>4.8661538647075067E-7</c:v>
                </c:pt>
                <c:pt idx="11">
                  <c:v>5.8697044152987235E-7</c:v>
                </c:pt>
                <c:pt idx="12">
                  <c:v>6.9574116160979277E-7</c:v>
                </c:pt>
                <c:pt idx="13">
                  <c:v>8.1366868317235293E-7</c:v>
                </c:pt>
                <c:pt idx="14">
                  <c:v>9.422534014658622E-7</c:v>
                </c:pt>
                <c:pt idx="15">
                  <c:v>1.083597820273817E-6</c:v>
                </c:pt>
                <c:pt idx="16">
                  <c:v>1.240023622324512E-6</c:v>
                </c:pt>
                <c:pt idx="17">
                  <c:v>1.4135897821721257E-6</c:v>
                </c:pt>
                <c:pt idx="18">
                  <c:v>1.6056800130613904E-6</c:v>
                </c:pt>
                <c:pt idx="19">
                  <c:v>1.8167753220861364E-6</c:v>
                </c:pt>
                <c:pt idx="20">
                  <c:v>2.0464326434574731E-6</c:v>
                </c:pt>
                <c:pt idx="21">
                  <c:v>2.2934210572421053E-6</c:v>
                </c:pt>
                <c:pt idx="22">
                  <c:v>2.5559462884224934E-6</c:v>
                </c:pt>
                <c:pt idx="23">
                  <c:v>2.8319056345167247E-6</c:v>
                </c:pt>
                <c:pt idx="24">
                  <c:v>3.1191336521975603E-6</c:v>
                </c:pt>
                <c:pt idx="25">
                  <c:v>3.4156117471214708E-6</c:v>
                </c:pt>
                <c:pt idx="26">
                  <c:v>3.7196231899425669E-6</c:v>
                </c:pt>
                <c:pt idx="27">
                  <c:v>4.0298426865568318E-6</c:v>
                </c:pt>
                <c:pt idx="28">
                  <c:v>4.3453595669596392E-6</c:v>
                </c:pt>
                <c:pt idx="29">
                  <c:v>4.6656439333895452E-6</c:v>
                </c:pt>
                <c:pt idx="30">
                  <c:v>4.9904728687005413E-6</c:v>
                </c:pt>
                <c:pt idx="31">
                  <c:v>5.3198370488367508E-6</c:v>
                </c:pt>
                <c:pt idx="32">
                  <c:v>5.6538476500094917E-6</c:v>
                </c:pt>
                <c:pt idx="33">
                  <c:v>5.9926610259421859E-6</c:v>
                </c:pt>
                <c:pt idx="34">
                  <c:v>6.3364372946523466E-6</c:v>
                </c:pt>
                <c:pt idx="35">
                  <c:v>6.6853494594483287E-6</c:v>
                </c:pt>
                <c:pt idx="36">
                  <c:v>7.0396605262379018E-6</c:v>
                </c:pt>
                <c:pt idx="37">
                  <c:v>7.3998830334182486E-6</c:v>
                </c:pt>
                <c:pt idx="38">
                  <c:v>7.7670175761210551E-6</c:v>
                </c:pt>
                <c:pt idx="39">
                  <c:v>8.1428267911494646E-6</c:v>
                </c:pt>
                <c:pt idx="40">
                  <c:v>8.5300415163432498E-6</c:v>
                </c:pt>
                <c:pt idx="41">
                  <c:v>8.9323512098514034E-6</c:v>
                </c:pt>
                <c:pt idx="42">
                  <c:v>9.3540631991405744E-6</c:v>
                </c:pt>
                <c:pt idx="43">
                  <c:v>9.7994561171965912E-6</c:v>
                </c:pt>
                <c:pt idx="44">
                  <c:v>1.0272031524633956E-5</c:v>
                </c:pt>
                <c:pt idx="45">
                  <c:v>1.0773940471650667E-5</c:v>
                </c:pt>
                <c:pt idx="46">
                  <c:v>1.1305760114981617E-5</c:v>
                </c:pt>
                <c:pt idx="47">
                  <c:v>1.1866609447902407E-5</c:v>
                </c:pt>
                <c:pt idx="48">
                  <c:v>1.2454466333306283E-5</c:v>
                </c:pt>
                <c:pt idx="49">
                  <c:v>1.3066535400991443E-5</c:v>
                </c:pt>
                <c:pt idx="50">
                  <c:v>1.3699574697138637E-5</c:v>
                </c:pt>
                <c:pt idx="51">
                  <c:v>1.4350152930911297E-5</c:v>
                </c:pt>
                <c:pt idx="52">
                  <c:v>1.5014846854089036E-5</c:v>
                </c:pt>
                <c:pt idx="53">
                  <c:v>1.5690397917662098E-5</c:v>
                </c:pt>
                <c:pt idx="54">
                  <c:v>1.6373840728035692E-5</c:v>
                </c:pt>
                <c:pt idx="55">
                  <c:v>1.706260442449258E-5</c:v>
                </c:pt>
                <c:pt idx="56">
                  <c:v>1.775458005613536E-5</c:v>
                </c:pt>
                <c:pt idx="57">
                  <c:v>1.8448145750630349E-5</c:v>
                </c:pt>
                <c:pt idx="58">
                  <c:v>1.9142146950745721E-5</c:v>
                </c:pt>
                <c:pt idx="59">
                  <c:v>1.9835838302728743E-5</c:v>
                </c:pt>
                <c:pt idx="60">
                  <c:v>2.0528803537388904E-5</c:v>
                </c:pt>
                <c:pt idx="61">
                  <c:v>2.1220877075993047E-5</c:v>
                </c:pt>
                <c:pt idx="62">
                  <c:v>2.1912095817158691E-5</c:v>
                </c:pt>
                <c:pt idx="63">
                  <c:v>2.260271203714893E-5</c:v>
                </c:pt>
                <c:pt idx="64">
                  <c:v>2.3293298106722059E-5</c:v>
                </c:pt>
                <c:pt idx="65">
                  <c:v>2.3984966460232152E-5</c:v>
                </c:pt>
                <c:pt idx="66">
                  <c:v>2.4679702947290107E-5</c:v>
                </c:pt>
                <c:pt idx="67">
                  <c:v>2.5380754788052874E-5</c:v>
                </c:pt>
                <c:pt idx="68">
                  <c:v>2.6092923301768649E-5</c:v>
                </c:pt>
                <c:pt idx="69">
                  <c:v>2.6822526166502809E-5</c:v>
                </c:pt>
                <c:pt idx="70">
                  <c:v>2.7576812490423196E-5</c:v>
                </c:pt>
                <c:pt idx="71">
                  <c:v>2.8362828303007821E-5</c:v>
                </c:pt>
                <c:pt idx="72">
                  <c:v>2.9186075814919787E-5</c:v>
                </c:pt>
                <c:pt idx="73">
                  <c:v>3.0049515726610092E-5</c:v>
                </c:pt>
                <c:pt idx="74">
                  <c:v>3.0953300030682888E-5</c:v>
                </c:pt>
                <c:pt idx="75">
                  <c:v>3.1895209422353671E-5</c:v>
                </c:pt>
                <c:pt idx="76">
                  <c:v>3.2871452210357421E-5</c:v>
                </c:pt>
                <c:pt idx="77">
                  <c:v>3.3877452125502809E-5</c:v>
                </c:pt>
                <c:pt idx="78">
                  <c:v>3.4908416678339976E-5</c:v>
                </c:pt>
                <c:pt idx="79">
                  <c:v>3.5959654097961225E-5</c:v>
                </c:pt>
                <c:pt idx="80">
                  <c:v>3.7026703993505751E-5</c:v>
                </c:pt>
                <c:pt idx="81">
                  <c:v>3.810536822112868E-5</c:v>
                </c:pt>
                <c:pt idx="82">
                  <c:v>3.9191710712025132E-5</c:v>
                </c:pt>
                <c:pt idx="83">
                  <c:v>4.0282067612208555E-5</c:v>
                </c:pt>
                <c:pt idx="84">
                  <c:v>4.1373082697132554E-5</c:v>
                </c:pt>
                <c:pt idx="85">
                  <c:v>4.2461764234899931E-5</c:v>
                </c:pt>
                <c:pt idx="86">
                  <c:v>4.3545547790015372E-5</c:v>
                </c:pt>
                <c:pt idx="87">
                  <c:v>4.4622347183040442E-5</c:v>
                </c:pt>
                <c:pt idx="88">
                  <c:v>4.569058140737513E-5</c:v>
                </c:pt>
                <c:pt idx="89">
                  <c:v>4.6749178851332083E-5</c:v>
                </c:pt>
                <c:pt idx="90">
                  <c:v>4.7797575547711829E-5</c:v>
                </c:pt>
                <c:pt idx="91">
                  <c:v>4.883573922894191E-5</c:v>
                </c:pt>
                <c:pt idx="92">
                  <c:v>4.9864259866894648E-5</c:v>
                </c:pt>
                <c:pt idx="93">
                  <c:v>5.0884545784290845E-5</c:v>
                </c:pt>
                <c:pt idx="94">
                  <c:v>5.1899143525926535E-5</c:v>
                </c:pt>
                <c:pt idx="95">
                  <c:v>5.2912147112545186E-5</c:v>
                </c:pt>
                <c:pt idx="96">
                  <c:v>5.3929568967527475E-5</c:v>
                </c:pt>
                <c:pt idx="97">
                  <c:v>5.4959431134004277E-5</c:v>
                </c:pt>
                <c:pt idx="98">
                  <c:v>5.6011281794330949E-5</c:v>
                </c:pt>
                <c:pt idx="99">
                  <c:v>5.7094978369834562E-5</c:v>
                </c:pt>
                <c:pt idx="100">
                  <c:v>5.8218952469121786E-5</c:v>
                </c:pt>
                <c:pt idx="101">
                  <c:v>5.9388582272904271E-5</c:v>
                </c:pt>
                <c:pt idx="102">
                  <c:v>6.0605366393048591E-5</c:v>
                </c:pt>
                <c:pt idx="103">
                  <c:v>6.1867177076892777E-5</c:v>
                </c:pt>
                <c:pt idx="104">
                  <c:v>6.3169299162176007E-5</c:v>
                </c:pt>
                <c:pt idx="105">
                  <c:v>6.4505682443992654E-5</c:v>
                </c:pt>
                <c:pt idx="106">
                  <c:v>6.5869950979382551E-5</c:v>
                </c:pt>
                <c:pt idx="107">
                  <c:v>6.7255995550573531E-5</c:v>
                </c:pt>
                <c:pt idx="108">
                  <c:v>6.865819482487835E-5</c:v>
                </c:pt>
                <c:pt idx="109">
                  <c:v>7.0071398355956552E-5</c:v>
                </c:pt>
                <c:pt idx="110">
                  <c:v>7.1490801797712569E-5</c:v>
                </c:pt>
                <c:pt idx="111">
                  <c:v>7.2911808973055475E-5</c:v>
                </c:pt>
                <c:pt idx="112">
                  <c:v>7.4329938800766712E-5</c:v>
                </c:pt>
                <c:pt idx="113">
                  <c:v>7.574080629212366E-5</c:v>
                </c:pt>
                <c:pt idx="114">
                  <c:v>7.7140185077899062E-5</c:v>
                </c:pt>
                <c:pt idx="115">
                  <c:v>7.8524140454504007E-5</c:v>
                </c:pt>
                <c:pt idx="116">
                  <c:v>7.9889207989302139E-5</c:v>
                </c:pt>
                <c:pt idx="117">
                  <c:v>8.1232586268700535E-5</c:v>
                </c:pt>
                <c:pt idx="118">
                  <c:v>8.2552317337432487E-5</c:v>
                </c:pt>
                <c:pt idx="119">
                  <c:v>8.3847444923445185E-5</c:v>
                </c:pt>
                <c:pt idx="120">
                  <c:v>8.5118163262963906E-5</c:v>
                </c:pt>
                <c:pt idx="121">
                  <c:v>8.6365987494920461E-5</c:v>
                </c:pt>
                <c:pt idx="122">
                  <c:v>8.7593976787058152E-5</c:v>
                </c:pt>
                <c:pt idx="123">
                  <c:v>8.8807010695487294E-5</c:v>
                </c:pt>
                <c:pt idx="124">
                  <c:v>9.0012050717854942E-5</c:v>
                </c:pt>
                <c:pt idx="125">
                  <c:v>9.121822184824532E-5</c:v>
                </c:pt>
                <c:pt idx="126">
                  <c:v>9.2436471032213892E-5</c:v>
                </c:pt>
                <c:pt idx="127">
                  <c:v>9.367859113150401E-5</c:v>
                </c:pt>
                <c:pt idx="128">
                  <c:v>9.4955625762016031E-5</c:v>
                </c:pt>
                <c:pt idx="129">
                  <c:v>9.6276044035264717E-5</c:v>
                </c:pt>
                <c:pt idx="130">
                  <c:v>9.7644345749833551E-5</c:v>
                </c:pt>
                <c:pt idx="131">
                  <c:v>9.9060647518642373E-5</c:v>
                </c:pt>
                <c:pt idx="132">
                  <c:v>1.0052132441171858E-4</c:v>
                </c:pt>
                <c:pt idx="133">
                  <c:v>1.0202029572280214E-4</c:v>
                </c:pt>
                <c:pt idx="134">
                  <c:v>1.035503802123115E-4</c:v>
                </c:pt>
                <c:pt idx="135">
                  <c:v>1.0510431373767046E-4</c:v>
                </c:pt>
                <c:pt idx="136">
                  <c:v>1.0667529879846457E-4</c:v>
                </c:pt>
                <c:pt idx="137">
                  <c:v>1.0825715375314772E-4</c:v>
                </c:pt>
                <c:pt idx="138">
                  <c:v>1.0984420404150869E-4</c:v>
                </c:pt>
                <c:pt idx="139">
                  <c:v>1.1143105229397125E-4</c:v>
                </c:pt>
                <c:pt idx="140">
                  <c:v>1.1301233128126603E-4</c:v>
                </c:pt>
                <c:pt idx="141">
                  <c:v>1.1458251377370122E-4</c:v>
                </c:pt>
                <c:pt idx="142">
                  <c:v>1.1613583269635828E-4</c:v>
                </c:pt>
                <c:pt idx="143">
                  <c:v>1.1766634873283556E-4</c:v>
                </c:pt>
                <c:pt idx="144">
                  <c:v>1.1916818180910561E-4</c:v>
                </c:pt>
                <c:pt idx="145">
                  <c:v>1.2063589307255682E-4</c:v>
                </c:pt>
                <c:pt idx="146">
                  <c:v>1.2206496856677004E-4</c:v>
                </c:pt>
                <c:pt idx="147">
                  <c:v>1.2345232754308822E-4</c:v>
                </c:pt>
                <c:pt idx="148">
                  <c:v>1.2479677244281884E-4</c:v>
                </c:pt>
                <c:pt idx="149">
                  <c:v>1.2609932035201403E-4</c:v>
                </c:pt>
                <c:pt idx="150">
                  <c:v>1.2736339532842846E-4</c:v>
                </c:pt>
                <c:pt idx="151">
                  <c:v>1.2859489156143985E-4</c:v>
                </c:pt>
                <c:pt idx="152">
                  <c:v>1.2980211378997727E-4</c:v>
                </c:pt>
                <c:pt idx="153">
                  <c:v>1.3099555771916977E-4</c:v>
                </c:pt>
                <c:pt idx="154">
                  <c:v>1.3218743467045653E-4</c:v>
                </c:pt>
                <c:pt idx="155">
                  <c:v>1.3339082517302005E-4</c:v>
                </c:pt>
                <c:pt idx="156">
                  <c:v>1.3461842518529878E-4</c:v>
                </c:pt>
                <c:pt idx="157">
                  <c:v>1.358810388277099E-4</c:v>
                </c:pt>
                <c:pt idx="158">
                  <c:v>1.3718618628019119E-4</c:v>
                </c:pt>
                <c:pt idx="159">
                  <c:v>1.3853727122371991E-4</c:v>
                </c:pt>
                <c:pt idx="160">
                  <c:v>1.3993358133119785E-4</c:v>
                </c:pt>
                <c:pt idx="161">
                  <c:v>1.4137105733704481E-4</c:v>
                </c:pt>
                <c:pt idx="162">
                  <c:v>1.4284348052914572E-4</c:v>
                </c:pt>
                <c:pt idx="163">
                  <c:v>1.4434365694753477E-4</c:v>
                </c:pt>
                <c:pt idx="164">
                  <c:v>1.4586430214028141E-4</c:v>
                </c:pt>
                <c:pt idx="165">
                  <c:v>1.4739852155484358E-4</c:v>
                </c:pt>
                <c:pt idx="166">
                  <c:v>1.4893992620012902E-4</c:v>
                </c:pt>
                <c:pt idx="167">
                  <c:v>1.5048248830281484E-4</c:v>
                </c:pt>
                <c:pt idx="168">
                  <c:v>1.5202024964033623E-4</c:v>
                </c:pt>
                <c:pt idx="169">
                  <c:v>1.5354698207892714E-4</c:v>
                </c:pt>
                <c:pt idx="170">
                  <c:v>1.5505588950108824E-4</c:v>
                </c:pt>
                <c:pt idx="171">
                  <c:v>1.565394402113643E-4</c:v>
                </c:pt>
                <c:pt idx="172">
                  <c:v>1.5798942161897328E-4</c:v>
                </c:pt>
                <c:pt idx="173">
                  <c:v>1.5939729684963369E-4</c:v>
                </c:pt>
                <c:pt idx="174">
                  <c:v>1.607548952322861E-4</c:v>
                </c:pt>
                <c:pt idx="175">
                  <c:v>1.620553773531992E-4</c:v>
                </c:pt>
                <c:pt idx="176">
                  <c:v>1.6329430272657953E-4</c:v>
                </c:pt>
                <c:pt idx="177">
                  <c:v>1.6447054899405681E-4</c:v>
                </c:pt>
                <c:pt idx="178">
                  <c:v>1.6558684326257219E-4</c:v>
                </c:pt>
                <c:pt idx="179">
                  <c:v>1.6664977919581884E-4</c:v>
                </c:pt>
                <c:pt idx="180">
                  <c:v>1.6766934922806751E-4</c:v>
                </c:pt>
                <c:pt idx="181">
                  <c:v>1.6865813208635964E-4</c:v>
                </c:pt>
                <c:pt idx="182">
                  <c:v>1.6963029321951335E-4</c:v>
                </c:pt>
                <c:pt idx="183">
                  <c:v>1.7060050248193451E-4</c:v>
                </c:pt>
                <c:pt idx="184">
                  <c:v>1.7158281759749663E-4</c:v>
                </c:pt>
                <c:pt idx="185">
                  <c:v>1.7258957993026135E-4</c:v>
                </c:pt>
                <c:pt idx="186">
                  <c:v>1.7363042562424866E-4</c:v>
                </c:pt>
                <c:pt idx="187">
                  <c:v>1.7471157845388101E-4</c:v>
                </c:pt>
                <c:pt idx="188">
                  <c:v>1.7583558990973328E-4</c:v>
                </c:pt>
                <c:pt idx="189">
                  <c:v>1.7700159509106083E-4</c:v>
                </c:pt>
                <c:pt idx="190">
                  <c:v>1.7820599982842379E-4</c:v>
                </c:pt>
                <c:pt idx="191">
                  <c:v>1.7944339001113637E-4</c:v>
                </c:pt>
                <c:pt idx="192">
                  <c:v>1.8070742090096391E-4</c:v>
                </c:pt>
                <c:pt idx="193">
                  <c:v>1.8199150072368585E-4</c:v>
                </c:pt>
                <c:pt idx="194">
                  <c:v>1.8328917965282351E-4</c:v>
                </c:pt>
                <c:pt idx="195">
                  <c:v>1.8459424123561295E-4</c:v>
                </c:pt>
                <c:pt idx="196">
                  <c:v>1.8590054502620724E-4</c:v>
                </c:pt>
                <c:pt idx="197">
                  <c:v>1.8720169098684024E-4</c:v>
                </c:pt>
                <c:pt idx="198">
                  <c:v>1.8849058684511095E-4</c:v>
                </c:pt>
                <c:pt idx="199">
                  <c:v>1.8975901725669185E-4</c:v>
                </c:pt>
                <c:pt idx="200">
                  <c:v>1.9099734704178744E-4</c:v>
                </c:pt>
                <c:pt idx="201">
                  <c:v>1.9219453193948795E-4</c:v>
                </c:pt>
                <c:pt idx="202">
                  <c:v>1.933386261628369E-4</c:v>
                </c:pt>
                <c:pt idx="203">
                  <c:v>1.9441791265508891E-4</c:v>
                </c:pt>
                <c:pt idx="204">
                  <c:v>1.9542259412815642E-4</c:v>
                </c:pt>
                <c:pt idx="205">
                  <c:v>1.9634670049433557E-4</c:v>
                </c:pt>
                <c:pt idx="206">
                  <c:v>1.9718963602615575E-4</c:v>
                </c:pt>
                <c:pt idx="207">
                  <c:v>1.9795680322527007E-4</c:v>
                </c:pt>
                <c:pt idx="208">
                  <c:v>1.9865906465593315E-4</c:v>
                </c:pt>
                <c:pt idx="209">
                  <c:v>1.993112621785187E-4</c:v>
                </c:pt>
                <c:pt idx="210">
                  <c:v>1.9993031515299866E-4</c:v>
                </c:pt>
                <c:pt idx="211">
                  <c:v>2.0053341677647528E-4</c:v>
                </c:pt>
                <c:pt idx="212">
                  <c:v>2.0113662775957084E-4</c:v>
                </c:pt>
                <c:pt idx="213">
                  <c:v>2.0175392269564975E-4</c:v>
                </c:pt>
                <c:pt idx="214">
                  <c:v>2.0239660672143316E-4</c:v>
                </c:pt>
                <c:pt idx="215">
                  <c:v>2.0307300321999801E-4</c:v>
                </c:pt>
                <c:pt idx="216">
                  <c:v>2.0378836037328275E-4</c:v>
                </c:pt>
                <c:pt idx="217">
                  <c:v>2.0454496917037568E-4</c:v>
                </c:pt>
                <c:pt idx="218">
                  <c:v>2.0534249159489905E-4</c:v>
                </c:pt>
                <c:pt idx="219">
                  <c:v>2.0617846459263704E-4</c:v>
                </c:pt>
                <c:pt idx="220">
                  <c:v>2.0704890038744186E-4</c:v>
                </c:pt>
                <c:pt idx="221">
                  <c:v>2.0794887558614637E-4</c:v>
                </c:pt>
                <c:pt idx="222">
                  <c:v>2.0887300513372324E-4</c:v>
                </c:pt>
                <c:pt idx="223">
                  <c:v>2.0981572590253277E-4</c:v>
                </c:pt>
                <c:pt idx="224">
                  <c:v>2.1077135259458355E-4</c:v>
                </c:pt>
                <c:pt idx="225">
                  <c:v>2.1173390238366443E-4</c:v>
                </c:pt>
                <c:pt idx="226">
                  <c:v>2.1269671182920188E-4</c:v>
                </c:pt>
                <c:pt idx="227">
                  <c:v>2.1365189942742713E-4</c:v>
                </c:pt>
                <c:pt idx="228">
                  <c:v>2.1458977495269452E-4</c:v>
                </c:pt>
                <c:pt idx="229">
                  <c:v>2.1549837447696859E-4</c:v>
                </c:pt>
                <c:pt idx="230">
                  <c:v>2.1636339930540641E-4</c:v>
                </c:pt>
                <c:pt idx="231">
                  <c:v>2.1716890274331015E-4</c:v>
                </c:pt>
                <c:pt idx="232">
                  <c:v>2.1789898938693648E-4</c:v>
                </c:pt>
                <c:pt idx="233">
                  <c:v>2.1854045504212166E-4</c:v>
                </c:pt>
                <c:pt idx="234">
                  <c:v>2.190857412151163E-4</c:v>
                </c:pt>
                <c:pt idx="235">
                  <c:v>2.1953512844812164E-4</c:v>
                </c:pt>
                <c:pt idx="236">
                  <c:v>2.198971924804024E-4</c:v>
                </c:pt>
                <c:pt idx="237">
                  <c:v>2.2018729609858624E-4</c:v>
                </c:pt>
                <c:pt idx="238">
                  <c:v>2.2042479783856953E-4</c:v>
                </c:pt>
                <c:pt idx="239">
                  <c:v>2.2063007899094921E-4</c:v>
                </c:pt>
                <c:pt idx="240">
                  <c:v>2.208222472032841E-4</c:v>
                </c:pt>
                <c:pt idx="241">
                  <c:v>2.2101781782234761E-4</c:v>
                </c:pt>
                <c:pt idx="242">
                  <c:v>2.2123022566419184E-4</c:v>
                </c:pt>
                <c:pt idx="243">
                  <c:v>2.2146984520157755E-4</c:v>
                </c:pt>
                <c:pt idx="244">
                  <c:v>2.2174423280082954E-4</c:v>
                </c:pt>
                <c:pt idx="245">
                  <c:v>2.2205842200970856E-4</c:v>
                </c:pt>
                <c:pt idx="246">
                  <c:v>2.2241521227364303E-4</c:v>
                </c:pt>
                <c:pt idx="247">
                  <c:v>2.2281545548910763E-4</c:v>
                </c:pt>
                <c:pt idx="248">
                  <c:v>2.2325836147247125E-4</c:v>
                </c:pt>
                <c:pt idx="249">
                  <c:v>2.2374182729168181E-4</c:v>
                </c:pt>
                <c:pt idx="250">
                  <c:v>2.2426276640433624E-4</c:v>
                </c:pt>
                <c:pt idx="251">
                  <c:v>2.2481738867382952E-4</c:v>
                </c:pt>
                <c:pt idx="252">
                  <c:v>2.2540137082797262E-4</c:v>
                </c:pt>
                <c:pt idx="253">
                  <c:v>2.2600985967221457E-4</c:v>
                </c:pt>
                <c:pt idx="254">
                  <c:v>2.2663726417387098E-4</c:v>
                </c:pt>
                <c:pt idx="255">
                  <c:v>2.2727681686896591E-4</c:v>
                </c:pt>
                <c:pt idx="256">
                  <c:v>2.2791992736269785E-4</c:v>
                </c:pt>
                <c:pt idx="257">
                  <c:v>2.2855542747424198E-4</c:v>
                </c:pt>
                <c:pt idx="258">
                  <c:v>2.2916893509058222E-4</c:v>
                </c:pt>
                <c:pt idx="259">
                  <c:v>2.2974273081404609E-4</c:v>
                </c:pt>
                <c:pt idx="260">
                  <c:v>2.3025666261812836E-4</c:v>
                </c:pt>
                <c:pt idx="261">
                  <c:v>2.3069048363221788E-4</c:v>
                </c:pt>
                <c:pt idx="262">
                  <c:v>2.3102749611882888E-4</c:v>
                </c:pt>
                <c:pt idx="263">
                  <c:v>2.3125850536797793E-4</c:v>
                </c:pt>
                <c:pt idx="264">
                  <c:v>2.3138445910506015E-4</c:v>
                </c:pt>
                <c:pt idx="265">
                  <c:v>2.3141647868780082E-4</c:v>
                </c:pt>
                <c:pt idx="266">
                  <c:v>2.3137327632973264E-4</c:v>
                </c:pt>
                <c:pt idx="267">
                  <c:v>2.3127723466515442E-4</c:v>
                </c:pt>
                <c:pt idx="268">
                  <c:v>2.3115075077376134E-4</c:v>
                </c:pt>
                <c:pt idx="269">
                  <c:v>2.3101382820250069E-4</c:v>
                </c:pt>
                <c:pt idx="270">
                  <c:v>2.308830482658222E-4</c:v>
                </c:pt>
                <c:pt idx="271">
                  <c:v>2.3077153055223995E-4</c:v>
                </c:pt>
                <c:pt idx="272">
                  <c:v>2.3068938496953809E-4</c:v>
                </c:pt>
                <c:pt idx="273">
                  <c:v>2.3064428136472127E-4</c:v>
                </c:pt>
                <c:pt idx="274">
                  <c:v>2.3064193655325467E-4</c:v>
                </c:pt>
                <c:pt idx="275">
                  <c:v>2.3068645510174263E-4</c:v>
                </c:pt>
                <c:pt idx="276">
                  <c:v>2.3078054072013434E-4</c:v>
                </c:pt>
                <c:pt idx="277">
                  <c:v>2.3092562813197128E-4</c:v>
                </c:pt>
                <c:pt idx="278">
                  <c:v>2.3112198418499732E-4</c:v>
                </c:pt>
                <c:pt idx="279">
                  <c:v>2.3136880437613972E-4</c:v>
                </c:pt>
                <c:pt idx="280">
                  <c:v>2.3166429784961831E-4</c:v>
                </c:pt>
                <c:pt idx="281">
                  <c:v>2.3200572179261366E-4</c:v>
                </c:pt>
                <c:pt idx="282">
                  <c:v>2.323893033893362E-4</c:v>
                </c:pt>
                <c:pt idx="283">
                  <c:v>2.3280998073996656E-4</c:v>
                </c:pt>
                <c:pt idx="284">
                  <c:v>2.3326091010147592E-4</c:v>
                </c:pt>
                <c:pt idx="285">
                  <c:v>2.3373273667486096E-4</c:v>
                </c:pt>
                <c:pt idx="286">
                  <c:v>2.3421272976325132E-4</c:v>
                </c:pt>
                <c:pt idx="287">
                  <c:v>2.3468405606526474E-4</c:v>
                </c:pt>
                <c:pt idx="288">
                  <c:v>2.3512568605420857E-4</c:v>
                </c:pt>
                <c:pt idx="289">
                  <c:v>2.3551357380690642E-4</c:v>
                </c:pt>
                <c:pt idx="290">
                  <c:v>2.3582357368047527E-4</c:v>
                </c:pt>
                <c:pt idx="291">
                  <c:v>2.3603583724971926E-4</c:v>
                </c:pt>
                <c:pt idx="292">
                  <c:v>2.3613935998530213E-4</c:v>
                </c:pt>
                <c:pt idx="293">
                  <c:v>2.3613471862960362E-4</c:v>
                </c:pt>
                <c:pt idx="294">
                  <c:v>2.3603366589054813E-4</c:v>
                </c:pt>
                <c:pt idx="295">
                  <c:v>2.3585588338270654E-4</c:v>
                </c:pt>
                <c:pt idx="296">
                  <c:v>2.3562454876814974E-4</c:v>
                </c:pt>
                <c:pt idx="297">
                  <c:v>2.3536249087618451E-4</c:v>
                </c:pt>
                <c:pt idx="298">
                  <c:v>2.3508985675702943E-4</c:v>
                </c:pt>
                <c:pt idx="299">
                  <c:v>2.3482327992439369E-4</c:v>
                </c:pt>
                <c:pt idx="300">
                  <c:v>2.3457605359396459E-4</c:v>
                </c:pt>
                <c:pt idx="301">
                  <c:v>2.3435876521855548E-4</c:v>
                </c:pt>
                <c:pt idx="302">
                  <c:v>2.3418000477321994E-4</c:v>
                </c:pt>
                <c:pt idx="303">
                  <c:v>2.3404693908318314E-4</c:v>
                </c:pt>
                <c:pt idx="304">
                  <c:v>2.3396567594869989E-4</c:v>
                </c:pt>
                <c:pt idx="305">
                  <c:v>2.3394142075483089E-4</c:v>
                </c:pt>
                <c:pt idx="306">
                  <c:v>2.3397846989827405E-4</c:v>
                </c:pt>
                <c:pt idx="307">
                  <c:v>2.3408010153419851E-4</c:v>
                </c:pt>
                <c:pt idx="308">
                  <c:v>2.3424842035763702E-4</c:v>
                </c:pt>
                <c:pt idx="309">
                  <c:v>2.3448419120277274E-4</c:v>
                </c:pt>
                <c:pt idx="310">
                  <c:v>2.3478666111475399E-4</c:v>
                </c:pt>
                <c:pt idx="311">
                  <c:v>2.3515333070594453E-4</c:v>
                </c:pt>
                <c:pt idx="312">
                  <c:v>2.3557960816680883E-4</c:v>
                </c:pt>
                <c:pt idx="313">
                  <c:v>2.360582808329786E-4</c:v>
                </c:pt>
                <c:pt idx="314">
                  <c:v>2.365787904990314E-4</c:v>
                </c:pt>
                <c:pt idx="315">
                  <c:v>2.3712641975096258E-4</c:v>
                </c:pt>
                <c:pt idx="316">
                  <c:v>2.376816940072159E-4</c:v>
                </c:pt>
                <c:pt idx="317">
                  <c:v>2.3822053071961968E-4</c:v>
                </c:pt>
                <c:pt idx="318">
                  <c:v>2.3871577015178075E-4</c:v>
                </c:pt>
                <c:pt idx="319">
                  <c:v>2.3914045102591311E-4</c:v>
                </c:pt>
                <c:pt idx="320">
                  <c:v>2.3947240092737432E-4</c:v>
                </c:pt>
                <c:pt idx="321">
                  <c:v>2.3969869996877407E-4</c:v>
                </c:pt>
                <c:pt idx="322">
                  <c:v>2.398181546863924E-4</c:v>
                </c:pt>
                <c:pt idx="323">
                  <c:v>2.3984069812404147E-4</c:v>
                </c:pt>
                <c:pt idx="324">
                  <c:v>2.3978418320822324E-4</c:v>
                </c:pt>
                <c:pt idx="325">
                  <c:v>2.3967016740653212E-4</c:v>
                </c:pt>
                <c:pt idx="326">
                  <c:v>2.3952028686417113E-4</c:v>
                </c:pt>
                <c:pt idx="327">
                  <c:v>2.3935402984045655E-4</c:v>
                </c:pt>
                <c:pt idx="328">
                  <c:v>2.3918790326014639E-4</c:v>
                </c:pt>
                <c:pt idx="329">
                  <c:v>2.3903556338398995E-4</c:v>
                </c:pt>
                <c:pt idx="330">
                  <c:v>2.3890842796530346E-4</c:v>
                </c:pt>
                <c:pt idx="331">
                  <c:v>2.3881640740237837E-4</c:v>
                </c:pt>
                <c:pt idx="332">
                  <c:v>2.387685356602139E-4</c:v>
                </c:pt>
                <c:pt idx="333">
                  <c:v>2.3877338819781687E-4</c:v>
                </c:pt>
                <c:pt idx="334">
                  <c:v>2.3883924102633688E-4</c:v>
                </c:pt>
                <c:pt idx="335">
                  <c:v>2.3897396938631684E-4</c:v>
                </c:pt>
                <c:pt idx="336">
                  <c:v>2.3918472019437701E-4</c:v>
                </c:pt>
                <c:pt idx="337">
                  <c:v>2.3947742255750804E-4</c:v>
                </c:pt>
                <c:pt idx="338">
                  <c:v>2.3985621778859962E-4</c:v>
                </c:pt>
                <c:pt idx="339">
                  <c:v>2.4032288382738301E-4</c:v>
                </c:pt>
                <c:pt idx="340">
                  <c:v>2.4087629599975466E-4</c:v>
                </c:pt>
                <c:pt idx="341">
                  <c:v>2.4151192045379275E-4</c:v>
                </c:pt>
                <c:pt idx="342">
                  <c:v>2.4222130836093982E-4</c:v>
                </c:pt>
                <c:pt idx="343">
                  <c:v>2.4299158388853007E-4</c:v>
                </c:pt>
                <c:pt idx="344">
                  <c:v>2.4380502109487231E-4</c:v>
                </c:pt>
                <c:pt idx="345">
                  <c:v>2.4463897397911897E-4</c:v>
                </c:pt>
                <c:pt idx="346">
                  <c:v>2.4546658783859628E-4</c:v>
                </c:pt>
                <c:pt idx="347">
                  <c:v>2.462587301167493E-4</c:v>
                </c:pt>
                <c:pt idx="348">
                  <c:v>2.4698726480950131E-4</c:v>
                </c:pt>
                <c:pt idx="349">
                  <c:v>2.4762913637755484E-4</c:v>
                </c:pt>
                <c:pt idx="350">
                  <c:v>2.4817004587885028E-4</c:v>
                </c:pt>
                <c:pt idx="351">
                  <c:v>2.4860635258744986E-4</c:v>
                </c:pt>
                <c:pt idx="352">
                  <c:v>2.4894451138918048E-4</c:v>
                </c:pt>
                <c:pt idx="353">
                  <c:v>2.4919846814005012E-4</c:v>
                </c:pt>
                <c:pt idx="354">
                  <c:v>2.49386206921746E-4</c:v>
                </c:pt>
                <c:pt idx="355">
                  <c:v>2.4952665533529614E-4</c:v>
                </c:pt>
                <c:pt idx="356">
                  <c:v>2.4963762721790043E-4</c:v>
                </c:pt>
                <c:pt idx="357">
                  <c:v>2.4973489632242112E-4</c:v>
                </c:pt>
                <c:pt idx="358">
                  <c:v>2.4983214524859491E-4</c:v>
                </c:pt>
                <c:pt idx="359">
                  <c:v>2.4994143927252607E-4</c:v>
                </c:pt>
                <c:pt idx="360">
                  <c:v>2.5007392183474332E-4</c:v>
                </c:pt>
                <c:pt idx="361">
                  <c:v>2.5024050978717785E-4</c:v>
                </c:pt>
                <c:pt idx="362">
                  <c:v>2.5045242921149129E-4</c:v>
                </c:pt>
                <c:pt idx="363">
                  <c:v>2.5072146857170252E-4</c:v>
                </c:pt>
                <c:pt idx="364">
                  <c:v>2.5105985281070122E-4</c:v>
                </c:pt>
                <c:pt idx="365">
                  <c:v>2.5147968455608492E-4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FE-44AD-A276-CF3D87C94282}"/>
            </c:ext>
          </c:extLst>
        </c:ser>
        <c:ser>
          <c:idx val="4"/>
          <c:order val="3"/>
          <c:tx>
            <c:v>Moon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horizons_error_log2!$J$2:$J$367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horizons_error_log2!$O$2:$O$367</c:f>
              <c:numCache>
                <c:formatCode>General</c:formatCode>
                <c:ptCount val="366"/>
                <c:pt idx="0">
                  <c:v>0</c:v>
                </c:pt>
                <c:pt idx="1">
                  <c:v>3.4756810098705415E-8</c:v>
                </c:pt>
                <c:pt idx="2">
                  <c:v>1.4550759821314439E-7</c:v>
                </c:pt>
                <c:pt idx="3">
                  <c:v>3.4280391407733621E-7</c:v>
                </c:pt>
                <c:pt idx="4">
                  <c:v>6.3779566295793454E-7</c:v>
                </c:pt>
                <c:pt idx="5">
                  <c:v>1.0414835317271657E-6</c:v>
                </c:pt>
                <c:pt idx="6">
                  <c:v>1.5637317780349264E-6</c:v>
                </c:pt>
                <c:pt idx="7">
                  <c:v>2.2119233795955346E-6</c:v>
                </c:pt>
                <c:pt idx="8">
                  <c:v>2.9892101169847592E-6</c:v>
                </c:pt>
                <c:pt idx="9">
                  <c:v>3.8924618470854544E-6</c:v>
                </c:pt>
                <c:pt idx="10">
                  <c:v>4.9102561013897996E-6</c:v>
                </c:pt>
                <c:pt idx="11">
                  <c:v>6.0215047188615242E-6</c:v>
                </c:pt>
                <c:pt idx="12">
                  <c:v>7.1954203371777415E-6</c:v>
                </c:pt>
                <c:pt idx="13">
                  <c:v>8.3932823691834221E-6</c:v>
                </c:pt>
                <c:pt idx="14">
                  <c:v>9.5718380785802149E-6</c:v>
                </c:pt>
                <c:pt idx="15">
                  <c:v>1.0687470484858154E-5</c:v>
                </c:pt>
                <c:pt idx="16">
                  <c:v>1.1699958826094384E-5</c:v>
                </c:pt>
                <c:pt idx="17">
                  <c:v>1.2574977089327808E-5</c:v>
                </c:pt>
                <c:pt idx="18">
                  <c:v>1.328516532687373E-5</c:v>
                </c:pt>
                <c:pt idx="19">
                  <c:v>1.3810190948842179E-5</c:v>
                </c:pt>
                <c:pt idx="20">
                  <c:v>1.4136412871244519E-5</c:v>
                </c:pt>
                <c:pt idx="21">
                  <c:v>1.4256619074260829E-5</c:v>
                </c:pt>
                <c:pt idx="22">
                  <c:v>1.4170040312834357E-5</c:v>
                </c:pt>
                <c:pt idx="23">
                  <c:v>1.3882637391435227E-5</c:v>
                </c:pt>
                <c:pt idx="24">
                  <c:v>1.3407616121945388E-5</c:v>
                </c:pt>
                <c:pt idx="25">
                  <c:v>1.2766270202888904E-5</c:v>
                </c:pt>
                <c:pt idx="26">
                  <c:v>1.1989577897007888E-5</c:v>
                </c:pt>
                <c:pt idx="27">
                  <c:v>1.112144223289171E-5</c:v>
                </c:pt>
                <c:pt idx="28">
                  <c:v>1.0224907401372459E-5</c:v>
                </c:pt>
                <c:pt idx="29">
                  <c:v>9.3923608199605603E-6</c:v>
                </c:pt>
                <c:pt idx="30">
                  <c:v>8.7569745640452534E-6</c:v>
                </c:pt>
                <c:pt idx="31">
                  <c:v>8.4906099525179812E-6</c:v>
                </c:pt>
                <c:pt idx="32">
                  <c:v>8.7608817687349588E-6</c:v>
                </c:pt>
                <c:pt idx="33">
                  <c:v>9.6538517886824198E-6</c:v>
                </c:pt>
                <c:pt idx="34">
                  <c:v>1.1140863196296791E-5</c:v>
                </c:pt>
                <c:pt idx="35">
                  <c:v>1.3124239378779277E-5</c:v>
                </c:pt>
                <c:pt idx="36">
                  <c:v>1.5492578166223532E-5</c:v>
                </c:pt>
                <c:pt idx="37">
                  <c:v>1.8140178017360963E-5</c:v>
                </c:pt>
                <c:pt idx="38">
                  <c:v>2.0962848077205549E-5</c:v>
                </c:pt>
                <c:pt idx="39">
                  <c:v>2.3849510761578209E-5</c:v>
                </c:pt>
                <c:pt idx="40">
                  <c:v>2.6678922261485694E-5</c:v>
                </c:pt>
                <c:pt idx="41">
                  <c:v>2.9324327645535827E-5</c:v>
                </c:pt>
                <c:pt idx="42">
                  <c:v>3.1664895070534895E-5</c:v>
                </c:pt>
                <c:pt idx="43">
                  <c:v>3.3599512916143919E-5</c:v>
                </c:pt>
                <c:pt idx="44">
                  <c:v>3.5057165740058356E-5</c:v>
                </c:pt>
                <c:pt idx="45">
                  <c:v>3.5999952887333355E-5</c:v>
                </c:pt>
                <c:pt idx="46">
                  <c:v>3.6418731756964169E-5</c:v>
                </c:pt>
                <c:pt idx="47">
                  <c:v>3.6324517024783155E-5</c:v>
                </c:pt>
                <c:pt idx="48">
                  <c:v>3.5739439580394455E-5</c:v>
                </c:pt>
                <c:pt idx="49">
                  <c:v>3.4689809788291178E-5</c:v>
                </c:pt>
                <c:pt idx="50">
                  <c:v>3.3202135703078344E-5</c:v>
                </c:pt>
                <c:pt idx="51">
                  <c:v>3.1301800411600935E-5</c:v>
                </c:pt>
                <c:pt idx="52">
                  <c:v>2.9013695935695656E-5</c:v>
                </c:pt>
                <c:pt idx="53">
                  <c:v>2.6364276588455813E-5</c:v>
                </c:pt>
                <c:pt idx="54">
                  <c:v>2.3385157893148863E-5</c:v>
                </c:pt>
                <c:pt idx="55">
                  <c:v>2.0119934227436366E-5</c:v>
                </c:pt>
                <c:pt idx="56">
                  <c:v>1.6640089823399732E-5</c:v>
                </c:pt>
                <c:pt idx="57">
                  <c:v>1.3089750990979345E-5</c:v>
                </c:pt>
                <c:pt idx="58">
                  <c:v>9.8287437088383028E-6</c:v>
                </c:pt>
                <c:pt idx="59">
                  <c:v>7.8319299598004676E-6</c:v>
                </c:pt>
                <c:pt idx="60">
                  <c:v>8.6276239052125654E-6</c:v>
                </c:pt>
                <c:pt idx="61">
                  <c:v>1.2040672235954011E-5</c:v>
                </c:pt>
                <c:pt idx="62">
                  <c:v>1.6793707437510363E-5</c:v>
                </c:pt>
                <c:pt idx="63">
                  <c:v>2.2227718546221258E-5</c:v>
                </c:pt>
                <c:pt idx="64">
                  <c:v>2.8069402585754747E-5</c:v>
                </c:pt>
                <c:pt idx="65">
                  <c:v>3.4157157319593718E-5</c:v>
                </c:pt>
                <c:pt idx="66">
                  <c:v>4.0342843157506089E-5</c:v>
                </c:pt>
                <c:pt idx="67">
                  <c:v>4.6455507036823526E-5</c:v>
                </c:pt>
                <c:pt idx="68">
                  <c:v>5.2290791870175202E-5</c:v>
                </c:pt>
                <c:pt idx="69">
                  <c:v>5.7618882788993107E-5</c:v>
                </c:pt>
                <c:pt idx="70">
                  <c:v>6.2208793623228276E-5</c:v>
                </c:pt>
                <c:pt idx="71">
                  <c:v>6.5862336021817983E-5</c:v>
                </c:pt>
                <c:pt idx="72">
                  <c:v>6.8445074937208551E-5</c:v>
                </c:pt>
                <c:pt idx="73">
                  <c:v>6.9901348633779405E-5</c:v>
                </c:pt>
                <c:pt idx="74">
                  <c:v>7.0248387228642376E-5</c:v>
                </c:pt>
                <c:pt idx="75">
                  <c:v>6.9555002874578214E-5</c:v>
                </c:pt>
                <c:pt idx="76">
                  <c:v>6.7915563614845593E-5</c:v>
                </c:pt>
                <c:pt idx="77">
                  <c:v>6.5428153731417513E-5</c:v>
                </c:pt>
                <c:pt idx="78">
                  <c:v>6.2180785758844591E-5</c:v>
                </c:pt>
                <c:pt idx="79">
                  <c:v>5.8245376277220186E-5</c:v>
                </c:pt>
                <c:pt idx="80">
                  <c:v>5.3677343086194919E-5</c:v>
                </c:pt>
                <c:pt idx="81">
                  <c:v>4.8518553205339507E-5</c:v>
                </c:pt>
                <c:pt idx="82">
                  <c:v>4.2802010339158018E-5</c:v>
                </c:pt>
                <c:pt idx="83">
                  <c:v>3.6557665989546324E-5</c:v>
                </c:pt>
                <c:pt idx="84">
                  <c:v>2.9820498974732151E-5</c:v>
                </c:pt>
                <c:pt idx="85">
                  <c:v>2.2647630451969386E-5</c:v>
                </c:pt>
                <c:pt idx="86">
                  <c:v>1.5181489192507153E-5</c:v>
                </c:pt>
                <c:pt idx="87">
                  <c:v>8.0818729833367655E-6</c:v>
                </c:pt>
                <c:pt idx="88">
                  <c:v>6.3852504623064842E-6</c:v>
                </c:pt>
                <c:pt idx="89">
                  <c:v>1.3404643689567313E-5</c:v>
                </c:pt>
                <c:pt idx="90">
                  <c:v>2.2442402391172127E-5</c:v>
                </c:pt>
                <c:pt idx="91">
                  <c:v>3.2121290154591644E-5</c:v>
                </c:pt>
                <c:pt idx="92">
                  <c:v>4.2170234295761968E-5</c:v>
                </c:pt>
                <c:pt idx="93">
                  <c:v>5.243282205417781E-5</c:v>
                </c:pt>
                <c:pt idx="94">
                  <c:v>6.2742401857767511E-5</c:v>
                </c:pt>
                <c:pt idx="95">
                  <c:v>7.2887428264556151E-5</c:v>
                </c:pt>
                <c:pt idx="96">
                  <c:v>8.2599552902985968E-5</c:v>
                </c:pt>
                <c:pt idx="97">
                  <c:v>9.1559499008435154E-5</c:v>
                </c:pt>
                <c:pt idx="98">
                  <c:v>9.9423747921445195E-5</c:v>
                </c:pt>
                <c:pt idx="99">
                  <c:v>1.0587044626773463E-4</c:v>
                </c:pt>
                <c:pt idx="100">
                  <c:v>1.1065250816537834E-4</c:v>
                </c:pt>
                <c:pt idx="101">
                  <c:v>1.1363790931044921E-4</c:v>
                </c:pt>
                <c:pt idx="102">
                  <c:v>1.1482047275962766E-4</c:v>
                </c:pt>
                <c:pt idx="103">
                  <c:v>1.1429892195886632E-4</c:v>
                </c:pt>
                <c:pt idx="104">
                  <c:v>1.1223676860917781E-4</c:v>
                </c:pt>
                <c:pt idx="105">
                  <c:v>1.0882040990759225E-4</c:v>
                </c:pt>
                <c:pt idx="106">
                  <c:v>1.042275884040381E-4</c:v>
                </c:pt>
                <c:pt idx="107">
                  <c:v>9.86101136022647E-5</c:v>
                </c:pt>
                <c:pt idx="108">
                  <c:v>9.2089137388612306E-5</c:v>
                </c:pt>
                <c:pt idx="109">
                  <c:v>8.4759548810728612E-5</c:v>
                </c:pt>
                <c:pt idx="110">
                  <c:v>7.6700974348879012E-5</c:v>
                </c:pt>
                <c:pt idx="111">
                  <c:v>6.7995318584239978E-5</c:v>
                </c:pt>
                <c:pt idx="112">
                  <c:v>5.8755247848793317E-5</c:v>
                </c:pt>
                <c:pt idx="113">
                  <c:v>4.9178442688359293E-5</c:v>
                </c:pt>
                <c:pt idx="114">
                  <c:v>3.9671970595559423E-5</c:v>
                </c:pt>
                <c:pt idx="115">
                  <c:v>3.1170641058255214E-5</c:v>
                </c:pt>
                <c:pt idx="116">
                  <c:v>2.5799248461640444E-5</c:v>
                </c:pt>
                <c:pt idx="117">
                  <c:v>2.6607239402278408E-5</c:v>
                </c:pt>
                <c:pt idx="118">
                  <c:v>3.3855029956707816E-5</c:v>
                </c:pt>
                <c:pt idx="119">
                  <c:v>4.494135953373763E-5</c:v>
                </c:pt>
                <c:pt idx="120">
                  <c:v>5.7928393016661369E-5</c:v>
                </c:pt>
                <c:pt idx="121">
                  <c:v>7.1854502540197857E-5</c:v>
                </c:pt>
                <c:pt idx="122">
                  <c:v>8.6170686903117648E-5</c:v>
                </c:pt>
                <c:pt idx="123">
                  <c:v>1.0045850985184625E-4</c:v>
                </c:pt>
                <c:pt idx="124">
                  <c:v>1.1431872064906417E-4</c:v>
                </c:pt>
                <c:pt idx="125">
                  <c:v>1.2733231434257421E-4</c:v>
                </c:pt>
                <c:pt idx="126">
                  <c:v>1.3906194100035362E-4</c:v>
                </c:pt>
                <c:pt idx="127">
                  <c:v>1.4908312449771389E-4</c:v>
                </c:pt>
                <c:pt idx="128">
                  <c:v>1.5703486069696058E-4</c:v>
                </c:pt>
                <c:pt idx="129">
                  <c:v>1.6267186220500802E-4</c:v>
                </c:pt>
                <c:pt idx="130">
                  <c:v>1.658971712920167E-4</c:v>
                </c:pt>
                <c:pt idx="131">
                  <c:v>1.6676128243559894E-4</c:v>
                </c:pt>
                <c:pt idx="132">
                  <c:v>1.6542957827473531E-4</c:v>
                </c:pt>
                <c:pt idx="133">
                  <c:v>1.6213311902021725E-4</c:v>
                </c:pt>
                <c:pt idx="134">
                  <c:v>1.5712071255364105E-4</c:v>
                </c:pt>
                <c:pt idx="135">
                  <c:v>1.5062413690593784E-4</c:v>
                </c:pt>
                <c:pt idx="136">
                  <c:v>1.4284014000887768E-4</c:v>
                </c:pt>
                <c:pt idx="137">
                  <c:v>1.3392748377231284E-4</c:v>
                </c:pt>
                <c:pt idx="138">
                  <c:v>1.2401591788890507E-4</c:v>
                </c:pt>
                <c:pt idx="139">
                  <c:v>1.1322548697764238E-4</c:v>
                </c:pt>
                <c:pt idx="140">
                  <c:v>1.0169809032856818E-4</c:v>
                </c:pt>
                <c:pt idx="141">
                  <c:v>8.9649366469825536E-5</c:v>
                </c:pt>
                <c:pt idx="142">
                  <c:v>7.7460731894885701E-5</c:v>
                </c:pt>
                <c:pt idx="143">
                  <c:v>6.585224145315862E-5</c:v>
                </c:pt>
                <c:pt idx="144">
                  <c:v>5.6182547860378671E-5</c:v>
                </c:pt>
                <c:pt idx="145">
                  <c:v>5.0706316438565508E-5</c:v>
                </c:pt>
                <c:pt idx="146">
                  <c:v>5.1809406167022329E-5</c:v>
                </c:pt>
                <c:pt idx="147">
                  <c:v>5.985107044538422E-5</c:v>
                </c:pt>
                <c:pt idx="148">
                  <c:v>7.2960406389687167E-5</c:v>
                </c:pt>
                <c:pt idx="149">
                  <c:v>8.9033354883556149E-5</c:v>
                </c:pt>
                <c:pt idx="150">
                  <c:v>1.0660325499813971E-4</c:v>
                </c:pt>
                <c:pt idx="151">
                  <c:v>1.2469587393800267E-4</c:v>
                </c:pt>
                <c:pt idx="152">
                  <c:v>1.4258993997242044E-4</c:v>
                </c:pt>
                <c:pt idx="153">
                  <c:v>1.5968068955412633E-4</c:v>
                </c:pt>
                <c:pt idx="154">
                  <c:v>1.7542201483333489E-4</c:v>
                </c:pt>
                <c:pt idx="155">
                  <c:v>1.8931672107190976E-4</c:v>
                </c:pt>
                <c:pt idx="156">
                  <c:v>2.009364469022012E-4</c:v>
                </c:pt>
                <c:pt idx="157">
                  <c:v>2.099557579608663E-4</c:v>
                </c:pt>
                <c:pt idx="158">
                  <c:v>2.1618359381286699E-4</c:v>
                </c:pt>
                <c:pt idx="159">
                  <c:v>2.1957674404727339E-4</c:v>
                </c:pt>
                <c:pt idx="160">
                  <c:v>2.2022765886758956E-4</c:v>
                </c:pt>
                <c:pt idx="161">
                  <c:v>2.1832991324355547E-4</c:v>
                </c:pt>
                <c:pt idx="162">
                  <c:v>2.1413287066184827E-4</c:v>
                </c:pt>
                <c:pt idx="163">
                  <c:v>2.0789861490659828E-4</c:v>
                </c:pt>
                <c:pt idx="164">
                  <c:v>1.9987018586446794E-4</c:v>
                </c:pt>
                <c:pt idx="165">
                  <c:v>1.902545896401691E-4</c:v>
                </c:pt>
                <c:pt idx="166">
                  <c:v>1.7922022691364438E-4</c:v>
                </c:pt>
                <c:pt idx="167">
                  <c:v>1.6690737601395456E-4</c:v>
                </c:pt>
                <c:pt idx="168">
                  <c:v>1.5345186144822458E-4</c:v>
                </c:pt>
                <c:pt idx="169">
                  <c:v>1.3902571574877473E-4</c:v>
                </c:pt>
                <c:pt idx="170">
                  <c:v>1.2390521763054279E-4</c:v>
                </c:pt>
                <c:pt idx="171">
                  <c:v>1.085882145518944E-4</c:v>
                </c:pt>
                <c:pt idx="172">
                  <c:v>9.3998359521540783E-5</c:v>
                </c:pt>
                <c:pt idx="173">
                  <c:v>8.1797924526877001E-5</c:v>
                </c:pt>
                <c:pt idx="174">
                  <c:v>7.4589907412793451E-5</c:v>
                </c:pt>
                <c:pt idx="175">
                  <c:v>7.5101806150241313E-5</c:v>
                </c:pt>
                <c:pt idx="176">
                  <c:v>8.4027455427431146E-5</c:v>
                </c:pt>
                <c:pt idx="177">
                  <c:v>9.9459904063088915E-5</c:v>
                </c:pt>
                <c:pt idx="178">
                  <c:v>1.187906468292012E-4</c:v>
                </c:pt>
                <c:pt idx="179">
                  <c:v>1.3997343643358756E-4</c:v>
                </c:pt>
                <c:pt idx="180">
                  <c:v>1.6159416956014103E-4</c:v>
                </c:pt>
                <c:pt idx="181">
                  <c:v>1.8265041142528075E-4</c:v>
                </c:pt>
                <c:pt idx="182">
                  <c:v>2.0238782749640172E-4</c:v>
                </c:pt>
                <c:pt idx="183">
                  <c:v>2.2021402424477943E-4</c:v>
                </c:pt>
                <c:pt idx="184">
                  <c:v>2.356615196690548E-4</c:v>
                </c:pt>
                <c:pt idx="185">
                  <c:v>2.4837832950752071E-4</c:v>
                </c:pt>
                <c:pt idx="186">
                  <c:v>2.5813123080043983E-4</c:v>
                </c:pt>
                <c:pt idx="187">
                  <c:v>2.6480975433179214E-4</c:v>
                </c:pt>
                <c:pt idx="188">
                  <c:v>2.6842190335498595E-4</c:v>
                </c:pt>
                <c:pt idx="189">
                  <c:v>2.6907731574404007E-4</c:v>
                </c:pt>
                <c:pt idx="190">
                  <c:v>2.6695921288592844E-4</c:v>
                </c:pt>
                <c:pt idx="191">
                  <c:v>2.6229076309544185E-4</c:v>
                </c:pt>
                <c:pt idx="192">
                  <c:v>2.5530285585393048E-4</c:v>
                </c:pt>
                <c:pt idx="193">
                  <c:v>2.4620896654581949E-4</c:v>
                </c:pt>
                <c:pt idx="194">
                  <c:v>2.3519034571708092E-4</c:v>
                </c:pt>
                <c:pt idx="195">
                  <c:v>2.2239283986403609E-4</c:v>
                </c:pt>
                <c:pt idx="196">
                  <c:v>2.0793621733840309E-4</c:v>
                </c:pt>
                <c:pt idx="197">
                  <c:v>1.9193830953668383E-4</c:v>
                </c:pt>
                <c:pt idx="198">
                  <c:v>1.7455997426395922E-4</c:v>
                </c:pt>
                <c:pt idx="199">
                  <c:v>1.560840549443329E-4</c:v>
                </c:pt>
                <c:pt idx="200">
                  <c:v>1.3705482810078074E-4</c:v>
                </c:pt>
                <c:pt idx="201">
                  <c:v>1.1852499207574598E-4</c:v>
                </c:pt>
                <c:pt idx="202">
                  <c:v>1.0245283296168983E-4</c:v>
                </c:pt>
                <c:pt idx="203">
                  <c:v>9.2049054448074859E-5</c:v>
                </c:pt>
                <c:pt idx="204">
                  <c:v>9.098065938779278E-5</c:v>
                </c:pt>
                <c:pt idx="205">
                  <c:v>1.0055575336483155E-4</c:v>
                </c:pt>
                <c:pt idx="206">
                  <c:v>1.1844753814608623E-4</c:v>
                </c:pt>
                <c:pt idx="207">
                  <c:v>1.411215025630702E-4</c:v>
                </c:pt>
                <c:pt idx="208">
                  <c:v>1.6578383737725802E-4</c:v>
                </c:pt>
                <c:pt idx="209">
                  <c:v>1.9057940856275602E-4</c:v>
                </c:pt>
                <c:pt idx="210">
                  <c:v>2.1429770743781418E-4</c:v>
                </c:pt>
                <c:pt idx="211">
                  <c:v>2.3613311637528877E-4</c:v>
                </c:pt>
                <c:pt idx="212">
                  <c:v>2.5554162327949667E-4</c:v>
                </c:pt>
                <c:pt idx="213">
                  <c:v>2.7215836131085698E-4</c:v>
                </c:pt>
                <c:pt idx="214">
                  <c:v>2.857504880693108E-4</c:v>
                </c:pt>
                <c:pt idx="215">
                  <c:v>2.9619058738535563E-4</c:v>
                </c:pt>
                <c:pt idx="216">
                  <c:v>3.034406261018122E-4</c:v>
                </c:pt>
                <c:pt idx="217">
                  <c:v>3.0753912017272524E-4</c:v>
                </c:pt>
                <c:pt idx="218">
                  <c:v>3.0858672819628942E-4</c:v>
                </c:pt>
                <c:pt idx="219">
                  <c:v>3.0672838129781817E-4</c:v>
                </c:pt>
                <c:pt idx="220">
                  <c:v>3.0213271299083758E-4</c:v>
                </c:pt>
                <c:pt idx="221">
                  <c:v>2.9497128350291845E-4</c:v>
                </c:pt>
                <c:pt idx="222">
                  <c:v>2.8540065696347928E-4</c:v>
                </c:pt>
                <c:pt idx="223">
                  <c:v>2.735501313167968E-4</c:v>
                </c:pt>
                <c:pt idx="224">
                  <c:v>2.595175360687834E-4</c:v>
                </c:pt>
                <c:pt idx="225">
                  <c:v>2.4337574457203811E-4</c:v>
                </c:pt>
                <c:pt idx="226">
                  <c:v>2.2519407351522926E-4</c:v>
                </c:pt>
                <c:pt idx="227">
                  <c:v>2.0508241453193649E-4</c:v>
                </c:pt>
                <c:pt idx="228">
                  <c:v>1.8327349011173529E-4</c:v>
                </c:pt>
                <c:pt idx="229">
                  <c:v>1.60274087862629E-4</c:v>
                </c:pt>
                <c:pt idx="230">
                  <c:v>1.3714660712240841E-4</c:v>
                </c:pt>
                <c:pt idx="231">
                  <c:v>1.1601726673413235E-4</c:v>
                </c:pt>
                <c:pt idx="232">
                  <c:v>1.0074398943876872E-4</c:v>
                </c:pt>
                <c:pt idx="233">
                  <c:v>9.6482992681165786E-5</c:v>
                </c:pt>
                <c:pt idx="234">
                  <c:v>1.0583430701399264E-4</c:v>
                </c:pt>
                <c:pt idx="235">
                  <c:v>1.2587863766526204E-4</c:v>
                </c:pt>
                <c:pt idx="236">
                  <c:v>1.5165844640276338E-4</c:v>
                </c:pt>
                <c:pt idx="237">
                  <c:v>1.7944412048491177E-4</c:v>
                </c:pt>
                <c:pt idx="238">
                  <c:v>2.069733215432119E-4</c:v>
                </c:pt>
                <c:pt idx="239">
                  <c:v>2.3292537798573661E-4</c:v>
                </c:pt>
                <c:pt idx="240">
                  <c:v>2.5653397800957689E-4</c:v>
                </c:pt>
                <c:pt idx="241">
                  <c:v>2.7736186149121393E-4</c:v>
                </c:pt>
                <c:pt idx="242">
                  <c:v>2.9516907510715977E-4</c:v>
                </c:pt>
                <c:pt idx="243">
                  <c:v>3.0983504150931151E-4</c:v>
                </c:pt>
                <c:pt idx="244">
                  <c:v>3.2131370341425197E-4</c:v>
                </c:pt>
                <c:pt idx="245">
                  <c:v>3.2960897098928475E-4</c:v>
                </c:pt>
                <c:pt idx="246">
                  <c:v>3.3476141834562365E-4</c:v>
                </c:pt>
                <c:pt idx="247">
                  <c:v>3.3683971286481082E-4</c:v>
                </c:pt>
                <c:pt idx="248">
                  <c:v>3.3593256455477939E-4</c:v>
                </c:pt>
                <c:pt idx="249">
                  <c:v>3.3213916787259626E-4</c:v>
                </c:pt>
                <c:pt idx="250">
                  <c:v>3.2555799986419516E-4</c:v>
                </c:pt>
                <c:pt idx="251">
                  <c:v>3.1627524490963037E-4</c:v>
                </c:pt>
                <c:pt idx="252">
                  <c:v>3.0435501816288371E-4</c:v>
                </c:pt>
                <c:pt idx="253">
                  <c:v>2.8983418777061697E-4</c:v>
                </c:pt>
                <c:pt idx="254">
                  <c:v>2.7272540250110962E-4</c:v>
                </c:pt>
                <c:pt idx="255">
                  <c:v>2.5303353883339837E-4</c:v>
                </c:pt>
                <c:pt idx="256">
                  <c:v>2.3079406781604479E-4</c:v>
                </c:pt>
                <c:pt idx="257">
                  <c:v>2.061484865294131E-4</c:v>
                </c:pt>
                <c:pt idx="258">
                  <c:v>1.794863067865147E-4</c:v>
                </c:pt>
                <c:pt idx="259">
                  <c:v>1.5171719631136831E-4</c:v>
                </c:pt>
                <c:pt idx="260">
                  <c:v>1.2481423241674265E-4</c:v>
                </c:pt>
                <c:pt idx="261">
                  <c:v>1.0282135881116578E-4</c:v>
                </c:pt>
                <c:pt idx="262">
                  <c:v>9.2525843152889046E-5</c:v>
                </c:pt>
                <c:pt idx="263">
                  <c:v>9.9326755030963902E-5</c:v>
                </c:pt>
                <c:pt idx="264">
                  <c:v>1.2032632520018716E-4</c:v>
                </c:pt>
                <c:pt idx="265">
                  <c:v>1.4851467253132087E-4</c:v>
                </c:pt>
                <c:pt idx="266">
                  <c:v>1.7889358377888034E-4</c:v>
                </c:pt>
                <c:pt idx="267">
                  <c:v>2.087776877870929E-4</c:v>
                </c:pt>
                <c:pt idx="268">
                  <c:v>2.3678659064450599E-4</c:v>
                </c:pt>
                <c:pt idx="269">
                  <c:v>2.6222306930202274E-4</c:v>
                </c:pt>
                <c:pt idx="270">
                  <c:v>2.847530014597066E-4</c:v>
                </c:pt>
                <c:pt idx="271">
                  <c:v>3.0423292935876739E-4</c:v>
                </c:pt>
                <c:pt idx="272">
                  <c:v>3.206139101478028E-4</c:v>
                </c:pt>
                <c:pt idx="273">
                  <c:v>3.3388917072349597E-4</c:v>
                </c:pt>
                <c:pt idx="274">
                  <c:v>3.440680455168596E-4</c:v>
                </c:pt>
                <c:pt idx="275">
                  <c:v>3.5116518008214572E-4</c:v>
                </c:pt>
                <c:pt idx="276">
                  <c:v>3.5519751123047058E-4</c:v>
                </c:pt>
                <c:pt idx="277">
                  <c:v>3.5618388336324262E-4</c:v>
                </c:pt>
                <c:pt idx="278">
                  <c:v>3.541440199890127E-4</c:v>
                </c:pt>
                <c:pt idx="279">
                  <c:v>3.4909523092000534E-4</c:v>
                </c:pt>
                <c:pt idx="280">
                  <c:v>3.4104677759829881E-4</c:v>
                </c:pt>
                <c:pt idx="281">
                  <c:v>3.2999321976564638E-4</c:v>
                </c:pt>
                <c:pt idx="282">
                  <c:v>3.1590933791947128E-4</c:v>
                </c:pt>
                <c:pt idx="283">
                  <c:v>2.9875052009720925E-4</c:v>
                </c:pt>
                <c:pt idx="284">
                  <c:v>2.7846415153755347E-4</c:v>
                </c:pt>
                <c:pt idx="285">
                  <c:v>2.5502007266798801E-4</c:v>
                </c:pt>
                <c:pt idx="286">
                  <c:v>2.2847251297473394E-4</c:v>
                </c:pt>
                <c:pt idx="287">
                  <c:v>1.9907474797744852E-4</c:v>
                </c:pt>
                <c:pt idx="288">
                  <c:v>1.6749093893915642E-4</c:v>
                </c:pt>
                <c:pt idx="289">
                  <c:v>1.3522218323187368E-4</c:v>
                </c:pt>
                <c:pt idx="290">
                  <c:v>1.0557044664481684E-4</c:v>
                </c:pt>
                <c:pt idx="291">
                  <c:v>8.5511260577488638E-5</c:v>
                </c:pt>
                <c:pt idx="292">
                  <c:v>8.4716237788170454E-5</c:v>
                </c:pt>
                <c:pt idx="293">
                  <c:v>1.0368387715389036E-4</c:v>
                </c:pt>
                <c:pt idx="294">
                  <c:v>1.329441396580167E-4</c:v>
                </c:pt>
                <c:pt idx="295">
                  <c:v>1.6529395786280281E-4</c:v>
                </c:pt>
                <c:pt idx="296">
                  <c:v>1.9733789608191913E-4</c:v>
                </c:pt>
                <c:pt idx="297">
                  <c:v>2.2755380571510026E-4</c:v>
                </c:pt>
                <c:pt idx="298">
                  <c:v>2.5525969986169115E-4</c:v>
                </c:pt>
                <c:pt idx="299">
                  <c:v>2.8016806487643719E-4</c:v>
                </c:pt>
                <c:pt idx="300">
                  <c:v>3.0217490158899264E-4</c:v>
                </c:pt>
                <c:pt idx="301">
                  <c:v>3.2125114090371387E-4</c:v>
                </c:pt>
                <c:pt idx="302">
                  <c:v>3.3738621892850739E-4</c:v>
                </c:pt>
                <c:pt idx="303">
                  <c:v>3.5056113656167109E-4</c:v>
                </c:pt>
                <c:pt idx="304">
                  <c:v>3.6073881195121724E-4</c:v>
                </c:pt>
                <c:pt idx="305">
                  <c:v>3.6786425640040376E-4</c:v>
                </c:pt>
                <c:pt idx="306">
                  <c:v>3.7186950916584359E-4</c:v>
                </c:pt>
                <c:pt idx="307">
                  <c:v>3.7267966952442516E-4</c:v>
                </c:pt>
                <c:pt idx="308">
                  <c:v>3.7021746076555884E-4</c:v>
                </c:pt>
                <c:pt idx="309">
                  <c:v>3.6440495426648531E-4</c:v>
                </c:pt>
                <c:pt idx="310">
                  <c:v>3.5516253773006085E-4</c:v>
                </c:pt>
                <c:pt idx="311">
                  <c:v>3.4240690278301671E-4</c:v>
                </c:pt>
                <c:pt idx="312">
                  <c:v>3.2605164318376737E-4</c:v>
                </c:pt>
                <c:pt idx="313">
                  <c:v>3.0601590781519853E-4</c:v>
                </c:pt>
                <c:pt idx="314">
                  <c:v>2.8224841806049798E-4</c:v>
                </c:pt>
                <c:pt idx="315">
                  <c:v>2.5477610714146856E-4</c:v>
                </c:pt>
                <c:pt idx="316">
                  <c:v>2.2378942449862032E-4</c:v>
                </c:pt>
                <c:pt idx="317">
                  <c:v>1.8978459944211831E-4</c:v>
                </c:pt>
                <c:pt idx="318">
                  <c:v>1.5381805402729746E-4</c:v>
                </c:pt>
                <c:pt idx="319">
                  <c:v>1.1807254981714437E-4</c:v>
                </c:pt>
                <c:pt idx="320">
                  <c:v>8.7416855761280081E-5</c:v>
                </c:pt>
                <c:pt idx="321">
                  <c:v>7.2392407602907746E-5</c:v>
                </c:pt>
                <c:pt idx="322">
                  <c:v>8.2646572170927806E-5</c:v>
                </c:pt>
                <c:pt idx="323">
                  <c:v>1.1014141827214773E-4</c:v>
                </c:pt>
                <c:pt idx="324">
                  <c:v>1.4349407964099798E-4</c:v>
                </c:pt>
                <c:pt idx="325">
                  <c:v>1.7753772515372127E-4</c:v>
                </c:pt>
                <c:pt idx="326">
                  <c:v>2.1026207459106953E-4</c:v>
                </c:pt>
                <c:pt idx="327">
                  <c:v>2.4084747426163569E-4</c:v>
                </c:pt>
                <c:pt idx="328">
                  <c:v>2.6895851759344789E-4</c:v>
                </c:pt>
                <c:pt idx="329">
                  <c:v>2.9446295131149399E-4</c:v>
                </c:pt>
                <c:pt idx="330">
                  <c:v>3.1730131048245119E-4</c:v>
                </c:pt>
                <c:pt idx="331">
                  <c:v>3.3742140974641645E-4</c:v>
                </c:pt>
                <c:pt idx="332">
                  <c:v>3.5474617431441313E-4</c:v>
                </c:pt>
                <c:pt idx="333">
                  <c:v>3.6916099514609492E-4</c:v>
                </c:pt>
                <c:pt idx="334">
                  <c:v>3.8051355532568921E-4</c:v>
                </c:pt>
                <c:pt idx="335">
                  <c:v>3.8862183975928074E-4</c:v>
                </c:pt>
                <c:pt idx="336">
                  <c:v>3.9328701518815843E-4</c:v>
                </c:pt>
                <c:pt idx="337">
                  <c:v>3.9430809009077073E-4</c:v>
                </c:pt>
                <c:pt idx="338">
                  <c:v>3.9149549501962501E-4</c:v>
                </c:pt>
                <c:pt idx="339">
                  <c:v>3.8468155163086967E-4</c:v>
                </c:pt>
                <c:pt idx="340">
                  <c:v>3.7372749178460297E-4</c:v>
                </c:pt>
                <c:pt idx="341">
                  <c:v>3.5852907254706217E-4</c:v>
                </c:pt>
                <c:pt idx="342">
                  <c:v>3.3902534754010294E-4</c:v>
                </c:pt>
                <c:pt idx="343">
                  <c:v>3.1521707410724997E-4</c:v>
                </c:pt>
                <c:pt idx="344">
                  <c:v>2.8720195134398395E-4</c:v>
                </c:pt>
                <c:pt idx="345">
                  <c:v>2.5523341965989169E-4</c:v>
                </c:pt>
                <c:pt idx="346">
                  <c:v>2.1981050550014437E-4</c:v>
                </c:pt>
                <c:pt idx="347">
                  <c:v>1.8181898479865174E-4</c:v>
                </c:pt>
                <c:pt idx="348">
                  <c:v>1.4280925869199267E-4</c:v>
                </c:pt>
                <c:pt idx="349">
                  <c:v>1.0575961504655748E-4</c:v>
                </c:pt>
                <c:pt idx="350">
                  <c:v>7.7433667693002005E-5</c:v>
                </c:pt>
                <c:pt idx="351">
                  <c:v>7.0918235718806142E-5</c:v>
                </c:pt>
                <c:pt idx="352">
                  <c:v>9.0198997139425804E-5</c:v>
                </c:pt>
                <c:pt idx="353">
                  <c:v>1.2205100714705282E-4</c:v>
                </c:pt>
                <c:pt idx="354">
                  <c:v>1.5727838319176872E-4</c:v>
                </c:pt>
                <c:pt idx="355">
                  <c:v>1.924299202362841E-4</c:v>
                </c:pt>
                <c:pt idx="356">
                  <c:v>2.2619844365598195E-4</c:v>
                </c:pt>
                <c:pt idx="357">
                  <c:v>2.5804238446556821E-4</c:v>
                </c:pt>
                <c:pt idx="358">
                  <c:v>2.8771513981419919E-4</c:v>
                </c:pt>
                <c:pt idx="359">
                  <c:v>3.1507407704656752E-4</c:v>
                </c:pt>
                <c:pt idx="360">
                  <c:v>3.3998951544642378E-4</c:v>
                </c:pt>
                <c:pt idx="361">
                  <c:v>3.6229784582646993E-4</c:v>
                </c:pt>
                <c:pt idx="362">
                  <c:v>3.8177898947352405E-4</c:v>
                </c:pt>
                <c:pt idx="363">
                  <c:v>3.9815068077520189E-4</c:v>
                </c:pt>
                <c:pt idx="364">
                  <c:v>4.1107664145634829E-4</c:v>
                </c:pt>
                <c:pt idx="365">
                  <c:v>4.2018686666667979E-4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FE-44AD-A276-CF3D87C94282}"/>
            </c:ext>
          </c:extLst>
        </c:ser>
        <c:ser>
          <c:idx val="5"/>
          <c:order val="4"/>
          <c:tx>
            <c:v>Mars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horizons_error_log2!$J$2:$J$367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horizons_error_log2!$P$2:$P$367</c:f>
              <c:numCache>
                <c:formatCode>General</c:formatCode>
                <c:ptCount val="366"/>
                <c:pt idx="0">
                  <c:v>0</c:v>
                </c:pt>
                <c:pt idx="1">
                  <c:v>1.8718979852082553E-9</c:v>
                </c:pt>
                <c:pt idx="2">
                  <c:v>7.5009061399542119E-9</c:v>
                </c:pt>
                <c:pt idx="3">
                  <c:v>1.687451202111591E-8</c:v>
                </c:pt>
                <c:pt idx="4">
                  <c:v>2.9980261499634026E-8</c:v>
                </c:pt>
                <c:pt idx="5">
                  <c:v>4.6806313316553881E-8</c:v>
                </c:pt>
                <c:pt idx="6">
                  <c:v>6.7341542273523391E-8</c:v>
                </c:pt>
                <c:pt idx="7">
                  <c:v>9.1574936735678479E-8</c:v>
                </c:pt>
                <c:pt idx="8">
                  <c:v>1.1949519295661096E-7</c:v>
                </c:pt>
                <c:pt idx="9">
                  <c:v>1.5109134476166509E-7</c:v>
                </c:pt>
                <c:pt idx="10">
                  <c:v>1.8635393246965507E-7</c:v>
                </c:pt>
                <c:pt idx="11">
                  <c:v>2.2527490703911565E-7</c:v>
                </c:pt>
                <c:pt idx="12">
                  <c:v>2.6784636712666045E-7</c:v>
                </c:pt>
                <c:pt idx="13">
                  <c:v>3.1405962968301605E-7</c:v>
                </c:pt>
                <c:pt idx="14">
                  <c:v>3.6390579284983156E-7</c:v>
                </c:pt>
                <c:pt idx="15">
                  <c:v>4.1737684313506012E-7</c:v>
                </c:pt>
                <c:pt idx="16">
                  <c:v>4.7446595169163238E-7</c:v>
                </c:pt>
                <c:pt idx="17">
                  <c:v>5.3516672063231079E-7</c:v>
                </c:pt>
                <c:pt idx="18">
                  <c:v>5.9947279237419387E-7</c:v>
                </c:pt>
                <c:pt idx="19">
                  <c:v>6.6737835938606895E-7</c:v>
                </c:pt>
                <c:pt idx="20">
                  <c:v>7.3887835017014706E-7</c:v>
                </c:pt>
                <c:pt idx="21">
                  <c:v>8.1396795928707893E-7</c:v>
                </c:pt>
                <c:pt idx="22">
                  <c:v>8.9264195288023396E-7</c:v>
                </c:pt>
                <c:pt idx="23">
                  <c:v>9.7489480536316186E-7</c:v>
                </c:pt>
                <c:pt idx="24">
                  <c:v>1.0607219129265642E-6</c:v>
                </c:pt>
                <c:pt idx="25">
                  <c:v>1.1501202556780748E-6</c:v>
                </c:pt>
                <c:pt idx="26">
                  <c:v>1.2430876278976069E-6</c:v>
                </c:pt>
                <c:pt idx="27">
                  <c:v>1.3396212961798262E-6</c:v>
                </c:pt>
                <c:pt idx="28">
                  <c:v>1.4397178123465307E-6</c:v>
                </c:pt>
                <c:pt idx="29">
                  <c:v>1.5433740694697661E-6</c:v>
                </c:pt>
                <c:pt idx="30">
                  <c:v>1.65058790855875E-6</c:v>
                </c:pt>
                <c:pt idx="31">
                  <c:v>1.7613577474055614E-6</c:v>
                </c:pt>
                <c:pt idx="32">
                  <c:v>1.8756819993330617E-6</c:v>
                </c:pt>
                <c:pt idx="33">
                  <c:v>1.9935593911371791E-6</c:v>
                </c:pt>
                <c:pt idx="34">
                  <c:v>2.1149894760085229E-6</c:v>
                </c:pt>
                <c:pt idx="35">
                  <c:v>2.2399723501312499E-6</c:v>
                </c:pt>
                <c:pt idx="36">
                  <c:v>2.3685077246380614E-6</c:v>
                </c:pt>
                <c:pt idx="37">
                  <c:v>2.5005945637171927E-6</c:v>
                </c:pt>
                <c:pt idx="38">
                  <c:v>2.6362320526624332E-6</c:v>
                </c:pt>
                <c:pt idx="39">
                  <c:v>2.7754206884327142E-6</c:v>
                </c:pt>
                <c:pt idx="40">
                  <c:v>2.9181622326449797E-6</c:v>
                </c:pt>
                <c:pt idx="41">
                  <c:v>3.0644584610045253E-6</c:v>
                </c:pt>
                <c:pt idx="42">
                  <c:v>3.2143103977379277E-6</c:v>
                </c:pt>
                <c:pt idx="43">
                  <c:v>3.3677187985237499E-6</c:v>
                </c:pt>
                <c:pt idx="44">
                  <c:v>3.5246850630889571E-6</c:v>
                </c:pt>
                <c:pt idx="45">
                  <c:v>3.6852111621630749E-6</c:v>
                </c:pt>
                <c:pt idx="46">
                  <c:v>3.8492990986489836E-6</c:v>
                </c:pt>
                <c:pt idx="47">
                  <c:v>4.0169508420241777E-6</c:v>
                </c:pt>
                <c:pt idx="48">
                  <c:v>4.1881691157268778E-6</c:v>
                </c:pt>
                <c:pt idx="49">
                  <c:v>4.3629575212772991E-6</c:v>
                </c:pt>
                <c:pt idx="50">
                  <c:v>4.54131960832357E-6</c:v>
                </c:pt>
                <c:pt idx="51">
                  <c:v>4.7232579736856021E-6</c:v>
                </c:pt>
                <c:pt idx="52">
                  <c:v>4.9087747660779885E-6</c:v>
                </c:pt>
                <c:pt idx="53">
                  <c:v>5.0978728610875803E-6</c:v>
                </c:pt>
                <c:pt idx="54">
                  <c:v>5.2905564847415908E-6</c:v>
                </c:pt>
                <c:pt idx="55">
                  <c:v>5.486830477234352E-6</c:v>
                </c:pt>
                <c:pt idx="56">
                  <c:v>5.6866991844809162E-6</c:v>
                </c:pt>
                <c:pt idx="57">
                  <c:v>5.8901663920543914E-6</c:v>
                </c:pt>
                <c:pt idx="58">
                  <c:v>6.0972360595662029E-6</c:v>
                </c:pt>
                <c:pt idx="59">
                  <c:v>6.3079127194009958E-6</c:v>
                </c:pt>
                <c:pt idx="60">
                  <c:v>6.522200931385949E-6</c:v>
                </c:pt>
                <c:pt idx="61">
                  <c:v>6.7401049523088903E-6</c:v>
                </c:pt>
                <c:pt idx="62">
                  <c:v>6.9616294610596256E-6</c:v>
                </c:pt>
                <c:pt idx="63">
                  <c:v>7.1867802022748659E-6</c:v>
                </c:pt>
                <c:pt idx="64">
                  <c:v>7.4155634023905743E-6</c:v>
                </c:pt>
                <c:pt idx="65">
                  <c:v>7.6479845358987975E-6</c:v>
                </c:pt>
                <c:pt idx="66">
                  <c:v>7.8840480450221939E-6</c:v>
                </c:pt>
                <c:pt idx="67">
                  <c:v>8.1237584499419112E-6</c:v>
                </c:pt>
                <c:pt idx="68">
                  <c:v>8.3671214168892377E-6</c:v>
                </c:pt>
                <c:pt idx="69">
                  <c:v>8.6141435009245992E-6</c:v>
                </c:pt>
                <c:pt idx="70">
                  <c:v>8.8648312312427814E-6</c:v>
                </c:pt>
                <c:pt idx="71">
                  <c:v>9.1191905487096915E-6</c:v>
                </c:pt>
                <c:pt idx="72">
                  <c:v>9.3772273027019378E-6</c:v>
                </c:pt>
                <c:pt idx="73">
                  <c:v>9.638947721830348E-6</c:v>
                </c:pt>
                <c:pt idx="74">
                  <c:v>9.9043581342078877E-6</c:v>
                </c:pt>
                <c:pt idx="75">
                  <c:v>1.0173464402059091E-5</c:v>
                </c:pt>
                <c:pt idx="76">
                  <c:v>1.0446272356168583E-5</c:v>
                </c:pt>
                <c:pt idx="77">
                  <c:v>1.0722788734215642E-5</c:v>
                </c:pt>
                <c:pt idx="78">
                  <c:v>1.1003021269884091E-5</c:v>
                </c:pt>
                <c:pt idx="79">
                  <c:v>1.1286977500352407E-5</c:v>
                </c:pt>
                <c:pt idx="80">
                  <c:v>1.1574663795562031E-5</c:v>
                </c:pt>
                <c:pt idx="81">
                  <c:v>1.1866085858957218E-5</c:v>
                </c:pt>
                <c:pt idx="82">
                  <c:v>1.2161250034485494E-5</c:v>
                </c:pt>
                <c:pt idx="83">
                  <c:v>1.2460163708405548E-5</c:v>
                </c:pt>
                <c:pt idx="84">
                  <c:v>1.2762834566677541E-5</c:v>
                </c:pt>
                <c:pt idx="85">
                  <c:v>1.3069269934757286E-5</c:v>
                </c:pt>
                <c:pt idx="86">
                  <c:v>1.3379476861467914E-5</c:v>
                </c:pt>
                <c:pt idx="87">
                  <c:v>1.3693462721389306E-5</c:v>
                </c:pt>
                <c:pt idx="88">
                  <c:v>1.4011234986957486E-5</c:v>
                </c:pt>
                <c:pt idx="89">
                  <c:v>1.4332800667440039E-5</c:v>
                </c:pt>
                <c:pt idx="90">
                  <c:v>1.4658166288696257E-5</c:v>
                </c:pt>
                <c:pt idx="91">
                  <c:v>1.4987338858184761E-5</c:v>
                </c:pt>
                <c:pt idx="92">
                  <c:v>1.5320326570366512E-5</c:v>
                </c:pt>
                <c:pt idx="93">
                  <c:v>1.5657138162966578E-5</c:v>
                </c:pt>
                <c:pt idx="94">
                  <c:v>1.5997781472361495E-5</c:v>
                </c:pt>
                <c:pt idx="95">
                  <c:v>1.6342263233466041E-5</c:v>
                </c:pt>
                <c:pt idx="96">
                  <c:v>1.6690590141096588E-5</c:v>
                </c:pt>
                <c:pt idx="97">
                  <c:v>1.7042769784260695E-5</c:v>
                </c:pt>
                <c:pt idx="98">
                  <c:v>1.7398810300377539E-5</c:v>
                </c:pt>
                <c:pt idx="99">
                  <c:v>1.7758719655762166E-5</c:v>
                </c:pt>
                <c:pt idx="100">
                  <c:v>1.8122505563929547E-5</c:v>
                </c:pt>
                <c:pt idx="101">
                  <c:v>1.8490175951023731E-5</c:v>
                </c:pt>
                <c:pt idx="102">
                  <c:v>1.8861739060517579E-5</c:v>
                </c:pt>
                <c:pt idx="103">
                  <c:v>1.923720270551417E-5</c:v>
                </c:pt>
                <c:pt idx="104">
                  <c:v>1.9616573912906016E-5</c:v>
                </c:pt>
                <c:pt idx="105">
                  <c:v>1.9999859628694521E-5</c:v>
                </c:pt>
                <c:pt idx="106">
                  <c:v>2.0387067820768783E-5</c:v>
                </c:pt>
                <c:pt idx="107">
                  <c:v>2.0778207498959828E-5</c:v>
                </c:pt>
                <c:pt idx="108">
                  <c:v>2.1173287455902609E-5</c:v>
                </c:pt>
                <c:pt idx="109">
                  <c:v>2.1572315340996858E-5</c:v>
                </c:pt>
                <c:pt idx="110">
                  <c:v>2.1975298125600601E-5</c:v>
                </c:pt>
                <c:pt idx="111">
                  <c:v>2.2382243294743184E-5</c:v>
                </c:pt>
                <c:pt idx="112">
                  <c:v>2.2793158990767248E-5</c:v>
                </c:pt>
                <c:pt idx="113">
                  <c:v>2.3208053360842782E-5</c:v>
                </c:pt>
                <c:pt idx="114">
                  <c:v>2.3626934245720587E-5</c:v>
                </c:pt>
                <c:pt idx="115">
                  <c:v>2.4049809702196591E-5</c:v>
                </c:pt>
                <c:pt idx="116">
                  <c:v>2.4476688278544518E-5</c:v>
                </c:pt>
                <c:pt idx="117">
                  <c:v>2.4907578394350736E-5</c:v>
                </c:pt>
                <c:pt idx="118">
                  <c:v>2.5342487533905014E-5</c:v>
                </c:pt>
                <c:pt idx="119">
                  <c:v>2.578142255606678E-5</c:v>
                </c:pt>
                <c:pt idx="120">
                  <c:v>2.6224390860534088E-5</c:v>
                </c:pt>
                <c:pt idx="121">
                  <c:v>2.6671401072064102E-5</c:v>
                </c:pt>
                <c:pt idx="122">
                  <c:v>2.7122462284808221E-5</c:v>
                </c:pt>
                <c:pt idx="123">
                  <c:v>2.7577582822291778E-5</c:v>
                </c:pt>
                <c:pt idx="124">
                  <c:v>2.8036770044767179E-5</c:v>
                </c:pt>
                <c:pt idx="125">
                  <c:v>2.8500031264936564E-5</c:v>
                </c:pt>
                <c:pt idx="126">
                  <c:v>2.8967374386223397E-5</c:v>
                </c:pt>
                <c:pt idx="127">
                  <c:v>2.9438807477339372E-5</c:v>
                </c:pt>
                <c:pt idx="128">
                  <c:v>2.9914338262785162E-5</c:v>
                </c:pt>
                <c:pt idx="129">
                  <c:v>3.0393974517312368E-5</c:v>
                </c:pt>
                <c:pt idx="130">
                  <c:v>3.0877724685259422E-5</c:v>
                </c:pt>
                <c:pt idx="131">
                  <c:v>3.1365597518824399E-5</c:v>
                </c:pt>
                <c:pt idx="132">
                  <c:v>3.185760100601283E-5</c:v>
                </c:pt>
                <c:pt idx="133">
                  <c:v>3.2353742078482356E-5</c:v>
                </c:pt>
                <c:pt idx="134">
                  <c:v>3.2854027587146855E-5</c:v>
                </c:pt>
                <c:pt idx="135">
                  <c:v>3.3358465412282486E-5</c:v>
                </c:pt>
                <c:pt idx="136">
                  <c:v>3.3867064391705082E-5</c:v>
                </c:pt>
                <c:pt idx="137">
                  <c:v>3.4379833154622059E-5</c:v>
                </c:pt>
                <c:pt idx="138">
                  <c:v>3.4896779446148791E-5</c:v>
                </c:pt>
                <c:pt idx="139">
                  <c:v>3.5417910571188237E-5</c:v>
                </c:pt>
                <c:pt idx="140">
                  <c:v>3.5943234164806352E-5</c:v>
                </c:pt>
                <c:pt idx="141">
                  <c:v>3.6472758120679412E-5</c:v>
                </c:pt>
                <c:pt idx="142">
                  <c:v>3.7006489997546191E-5</c:v>
                </c:pt>
                <c:pt idx="143">
                  <c:v>3.7544437147588634E-5</c:v>
                </c:pt>
                <c:pt idx="144">
                  <c:v>3.8086607536825868E-5</c:v>
                </c:pt>
                <c:pt idx="145">
                  <c:v>3.8633009906321722E-5</c:v>
                </c:pt>
                <c:pt idx="146">
                  <c:v>3.9183652727037101E-5</c:v>
                </c:pt>
                <c:pt idx="147">
                  <c:v>3.9738543286560763E-5</c:v>
                </c:pt>
                <c:pt idx="148">
                  <c:v>4.0297688128927006E-5</c:v>
                </c:pt>
                <c:pt idx="149">
                  <c:v>4.086109439821063E-5</c:v>
                </c:pt>
                <c:pt idx="150">
                  <c:v>4.1428770318635292E-5</c:v>
                </c:pt>
                <c:pt idx="151">
                  <c:v>4.2000724462216309E-5</c:v>
                </c:pt>
                <c:pt idx="152">
                  <c:v>4.2576964817553081E-5</c:v>
                </c:pt>
                <c:pt idx="153">
                  <c:v>4.3157498817422128E-5</c:v>
                </c:pt>
                <c:pt idx="154">
                  <c:v>4.3742333967172129E-5</c:v>
                </c:pt>
                <c:pt idx="155">
                  <c:v>4.4331478036322129E-5</c:v>
                </c:pt>
                <c:pt idx="156">
                  <c:v>4.4924938502051069E-5</c:v>
                </c:pt>
                <c:pt idx="157">
                  <c:v>4.5522722385379544E-5</c:v>
                </c:pt>
                <c:pt idx="158">
                  <c:v>4.6124837018266507E-5</c:v>
                </c:pt>
                <c:pt idx="159">
                  <c:v>4.6731290735514904E-5</c:v>
                </c:pt>
                <c:pt idx="160">
                  <c:v>4.7342092293985024E-5</c:v>
                </c:pt>
                <c:pt idx="161">
                  <c:v>4.7957249536949394E-5</c:v>
                </c:pt>
                <c:pt idx="162">
                  <c:v>4.8576769147706751E-5</c:v>
                </c:pt>
                <c:pt idx="163">
                  <c:v>4.9200657713354547E-5</c:v>
                </c:pt>
                <c:pt idx="164">
                  <c:v>4.9828922787908821E-5</c:v>
                </c:pt>
                <c:pt idx="165">
                  <c:v>5.046157261961745E-5</c:v>
                </c:pt>
                <c:pt idx="166">
                  <c:v>5.1098615249043448E-5</c:v>
                </c:pt>
                <c:pt idx="167">
                  <c:v>5.1740058224492179E-5</c:v>
                </c:pt>
                <c:pt idx="168">
                  <c:v>5.2385909065340976E-5</c:v>
                </c:pt>
                <c:pt idx="169">
                  <c:v>5.3036175538324462E-5</c:v>
                </c:pt>
                <c:pt idx="170">
                  <c:v>5.3690865211455083E-5</c:v>
                </c:pt>
                <c:pt idx="171">
                  <c:v>5.4349984992423133E-5</c:v>
                </c:pt>
                <c:pt idx="172">
                  <c:v>5.5013541691129211E-5</c:v>
                </c:pt>
                <c:pt idx="173">
                  <c:v>5.5681542993557884E-5</c:v>
                </c:pt>
                <c:pt idx="174">
                  <c:v>5.6353997549346987E-5</c:v>
                </c:pt>
                <c:pt idx="175">
                  <c:v>5.7030913784435097E-5</c:v>
                </c:pt>
                <c:pt idx="176">
                  <c:v>5.771229887917547E-5</c:v>
                </c:pt>
                <c:pt idx="177">
                  <c:v>5.8398159303629816E-5</c:v>
                </c:pt>
                <c:pt idx="178">
                  <c:v>5.908850206218529E-5</c:v>
                </c:pt>
                <c:pt idx="179">
                  <c:v>5.978333499537313E-5</c:v>
                </c:pt>
                <c:pt idx="180">
                  <c:v>6.0482666061855418E-5</c:v>
                </c:pt>
                <c:pt idx="181">
                  <c:v>6.1186502844273659E-5</c:v>
                </c:pt>
                <c:pt idx="182">
                  <c:v>6.1894852872071524E-5</c:v>
                </c:pt>
                <c:pt idx="183">
                  <c:v>6.2607724029170716E-5</c:v>
                </c:pt>
                <c:pt idx="184">
                  <c:v>6.3325124171854745E-5</c:v>
                </c:pt>
                <c:pt idx="185">
                  <c:v>6.4047060422448259E-5</c:v>
                </c:pt>
                <c:pt idx="186">
                  <c:v>6.4773539326844182E-5</c:v>
                </c:pt>
                <c:pt idx="187">
                  <c:v>6.5504567950559563E-5</c:v>
                </c:pt>
                <c:pt idx="188">
                  <c:v>6.6240154532435638E-5</c:v>
                </c:pt>
                <c:pt idx="189">
                  <c:v>6.6980307781234634E-5</c:v>
                </c:pt>
                <c:pt idx="190">
                  <c:v>6.7725035587713907E-5</c:v>
                </c:pt>
                <c:pt idx="191">
                  <c:v>6.8474344776911091E-5</c:v>
                </c:pt>
                <c:pt idx="192">
                  <c:v>6.9228242134789428E-5</c:v>
                </c:pt>
                <c:pt idx="193">
                  <c:v>6.9986735166319521E-5</c:v>
                </c:pt>
                <c:pt idx="194">
                  <c:v>7.0749831744568845E-5</c:v>
                </c:pt>
                <c:pt idx="195">
                  <c:v>7.151753944647928E-5</c:v>
                </c:pt>
                <c:pt idx="196">
                  <c:v>7.2289865766971256E-5</c:v>
                </c:pt>
                <c:pt idx="197">
                  <c:v>7.306681868656351E-5</c:v>
                </c:pt>
                <c:pt idx="198">
                  <c:v>7.3848406452024071E-5</c:v>
                </c:pt>
                <c:pt idx="199">
                  <c:v>7.4634636720283422E-5</c:v>
                </c:pt>
                <c:pt idx="200">
                  <c:v>7.5425516217514702E-5</c:v>
                </c:pt>
                <c:pt idx="201">
                  <c:v>7.6221051618574867E-5</c:v>
                </c:pt>
                <c:pt idx="202">
                  <c:v>7.7021250630482629E-5</c:v>
                </c:pt>
                <c:pt idx="203">
                  <c:v>7.7826121948094929E-5</c:v>
                </c:pt>
                <c:pt idx="204">
                  <c:v>7.8635674065258697E-5</c:v>
                </c:pt>
                <c:pt idx="205">
                  <c:v>7.9449914481144379E-5</c:v>
                </c:pt>
                <c:pt idx="206">
                  <c:v>8.0268850209252676E-5</c:v>
                </c:pt>
                <c:pt idx="207">
                  <c:v>8.1092488643860958E-5</c:v>
                </c:pt>
                <c:pt idx="208">
                  <c:v>8.1920837650879678E-5</c:v>
                </c:pt>
                <c:pt idx="209">
                  <c:v>8.2753904911324867E-5</c:v>
                </c:pt>
                <c:pt idx="210">
                  <c:v>8.3591697889723258E-5</c:v>
                </c:pt>
                <c:pt idx="211">
                  <c:v>8.4434224521918444E-5</c:v>
                </c:pt>
                <c:pt idx="212">
                  <c:v>8.5281493411210556E-5</c:v>
                </c:pt>
                <c:pt idx="213">
                  <c:v>8.6133512960594923E-5</c:v>
                </c:pt>
                <c:pt idx="214">
                  <c:v>8.6990290509826867E-5</c:v>
                </c:pt>
                <c:pt idx="215">
                  <c:v>8.7851832753050134E-5</c:v>
                </c:pt>
                <c:pt idx="216">
                  <c:v>8.8718147011455879E-5</c:v>
                </c:pt>
                <c:pt idx="217">
                  <c:v>8.9589241741865646E-5</c:v>
                </c:pt>
                <c:pt idx="218">
                  <c:v>9.0465125794522729E-5</c:v>
                </c:pt>
                <c:pt idx="219">
                  <c:v>9.1345807400120991E-5</c:v>
                </c:pt>
                <c:pt idx="220">
                  <c:v>9.2231294142870995E-5</c:v>
                </c:pt>
                <c:pt idx="221">
                  <c:v>9.3121593645288097E-5</c:v>
                </c:pt>
                <c:pt idx="222">
                  <c:v>9.4016713942771387E-5</c:v>
                </c:pt>
                <c:pt idx="223">
                  <c:v>9.4916662968921119E-5</c:v>
                </c:pt>
                <c:pt idx="224">
                  <c:v>9.582144829641311E-5</c:v>
                </c:pt>
                <c:pt idx="225">
                  <c:v>9.6731077741202533E-5</c:v>
                </c:pt>
                <c:pt idx="226">
                  <c:v>9.7645560046040106E-5</c:v>
                </c:pt>
                <c:pt idx="227">
                  <c:v>9.8564904324945847E-5</c:v>
                </c:pt>
                <c:pt idx="228">
                  <c:v>9.9489118875759357E-5</c:v>
                </c:pt>
                <c:pt idx="229">
                  <c:v>1.0041821089771524E-4</c:v>
                </c:pt>
                <c:pt idx="230">
                  <c:v>1.0135218759299064E-4</c:v>
                </c:pt>
                <c:pt idx="231">
                  <c:v>1.0229105717720053E-4</c:v>
                </c:pt>
                <c:pt idx="232">
                  <c:v>1.032348286285802E-4</c:v>
                </c:pt>
                <c:pt idx="233">
                  <c:v>1.041835107642754E-4</c:v>
                </c:pt>
                <c:pt idx="234">
                  <c:v>1.0513711179825535E-4</c:v>
                </c:pt>
                <c:pt idx="235">
                  <c:v>1.0609563986584224E-4</c:v>
                </c:pt>
                <c:pt idx="236">
                  <c:v>1.0705910339382821E-4</c:v>
                </c:pt>
                <c:pt idx="237">
                  <c:v>1.080275107711103E-4</c:v>
                </c:pt>
                <c:pt idx="238">
                  <c:v>1.0900086987910227E-4</c:v>
                </c:pt>
                <c:pt idx="239">
                  <c:v>1.0997918850407421E-4</c:v>
                </c:pt>
                <c:pt idx="240">
                  <c:v>1.1096247528317447E-4</c:v>
                </c:pt>
                <c:pt idx="241">
                  <c:v>1.1195073976408957E-4</c:v>
                </c:pt>
                <c:pt idx="242">
                  <c:v>1.1294399124257822E-4</c:v>
                </c:pt>
                <c:pt idx="243">
                  <c:v>1.1394223784757753E-4</c:v>
                </c:pt>
                <c:pt idx="244">
                  <c:v>1.1494548706248062E-4</c:v>
                </c:pt>
                <c:pt idx="245">
                  <c:v>1.1595374699125935E-4</c:v>
                </c:pt>
                <c:pt idx="246">
                  <c:v>1.1696702662631752E-4</c:v>
                </c:pt>
                <c:pt idx="247">
                  <c:v>1.1798533513168849E-4</c:v>
                </c:pt>
                <c:pt idx="248">
                  <c:v>1.1900868128383022E-4</c:v>
                </c:pt>
                <c:pt idx="249">
                  <c:v>1.200370737407754E-4</c:v>
                </c:pt>
                <c:pt idx="250">
                  <c:v>1.2107052145522526E-4</c:v>
                </c:pt>
                <c:pt idx="251">
                  <c:v>1.2210903341947193E-4</c:v>
                </c:pt>
                <c:pt idx="252">
                  <c:v>1.2315261806201004E-4</c:v>
                </c:pt>
                <c:pt idx="253">
                  <c:v>1.2420128331981216E-4</c:v>
                </c:pt>
                <c:pt idx="254">
                  <c:v>1.2525503761484758E-4</c:v>
                </c:pt>
                <c:pt idx="255">
                  <c:v>1.2631389053868448E-4</c:v>
                </c:pt>
                <c:pt idx="256">
                  <c:v>1.2737785209349399E-4</c:v>
                </c:pt>
                <c:pt idx="257">
                  <c:v>1.2844693146590777E-4</c:v>
                </c:pt>
                <c:pt idx="258">
                  <c:v>1.2952113680433022E-4</c:v>
                </c:pt>
                <c:pt idx="259">
                  <c:v>1.3060047627540974E-4</c:v>
                </c:pt>
                <c:pt idx="260">
                  <c:v>1.3168495884094051E-4</c:v>
                </c:pt>
                <c:pt idx="261">
                  <c:v>1.3277459387910496E-4</c:v>
                </c:pt>
                <c:pt idx="262">
                  <c:v>1.3386939046941578E-4</c:v>
                </c:pt>
                <c:pt idx="263">
                  <c:v>1.3496935758131084E-4</c:v>
                </c:pt>
                <c:pt idx="264">
                  <c:v>1.3607450457959759E-4</c:v>
                </c:pt>
                <c:pt idx="265">
                  <c:v>1.3718484109056684E-4</c:v>
                </c:pt>
                <c:pt idx="266">
                  <c:v>1.383003762226885E-4</c:v>
                </c:pt>
                <c:pt idx="267">
                  <c:v>1.394211182183964E-4</c:v>
                </c:pt>
                <c:pt idx="268">
                  <c:v>1.4054707533273463E-4</c:v>
                </c:pt>
                <c:pt idx="269">
                  <c:v>1.4167825684694319E-4</c:v>
                </c:pt>
                <c:pt idx="270">
                  <c:v>1.4281467292035093E-4</c:v>
                </c:pt>
                <c:pt idx="271">
                  <c:v>1.4395633351413703E-4</c:v>
                </c:pt>
                <c:pt idx="272">
                  <c:v>1.451032475525401E-4</c:v>
                </c:pt>
                <c:pt idx="273">
                  <c:v>1.4625542347450002E-4</c:v>
                </c:pt>
                <c:pt idx="274">
                  <c:v>1.4741287017564839E-4</c:v>
                </c:pt>
                <c:pt idx="275">
                  <c:v>1.4857559700032086E-4</c:v>
                </c:pt>
                <c:pt idx="276">
                  <c:v>1.4974361315327406E-4</c:v>
                </c:pt>
                <c:pt idx="277">
                  <c:v>1.5091692757457218E-4</c:v>
                </c:pt>
                <c:pt idx="278">
                  <c:v>1.5209554961867445E-4</c:v>
                </c:pt>
                <c:pt idx="279">
                  <c:v>1.5327948923785762E-4</c:v>
                </c:pt>
                <c:pt idx="280">
                  <c:v>1.5446875611075801E-4</c:v>
                </c:pt>
                <c:pt idx="281">
                  <c:v>1.5566335890449199E-4</c:v>
                </c:pt>
                <c:pt idx="282">
                  <c:v>1.5686330571793649E-4</c:v>
                </c:pt>
                <c:pt idx="283">
                  <c:v>1.5806860521480948E-4</c:v>
                </c:pt>
                <c:pt idx="284">
                  <c:v>1.5927926716383757E-4</c:v>
                </c:pt>
                <c:pt idx="285">
                  <c:v>1.6049530160225335E-4</c:v>
                </c:pt>
                <c:pt idx="286">
                  <c:v>1.6171671791158557E-4</c:v>
                </c:pt>
                <c:pt idx="287">
                  <c:v>1.629435247536103E-4</c:v>
                </c:pt>
                <c:pt idx="288">
                  <c:v>1.6417573086416443E-4</c:v>
                </c:pt>
                <c:pt idx="289">
                  <c:v>1.6541334531989572E-4</c:v>
                </c:pt>
                <c:pt idx="290">
                  <c:v>1.6665637707889038E-4</c:v>
                </c:pt>
                <c:pt idx="291">
                  <c:v>1.6790483468212634E-4</c:v>
                </c:pt>
                <c:pt idx="292">
                  <c:v>1.69158726865619E-4</c:v>
                </c:pt>
                <c:pt idx="293">
                  <c:v>1.7041806319000936E-4</c:v>
                </c:pt>
                <c:pt idx="294">
                  <c:v>1.7168285345975002E-4</c:v>
                </c:pt>
                <c:pt idx="295">
                  <c:v>1.7295310656539038E-4</c:v>
                </c:pt>
                <c:pt idx="296">
                  <c:v>1.7422883033056151E-4</c:v>
                </c:pt>
                <c:pt idx="297">
                  <c:v>1.7551003253626804E-4</c:v>
                </c:pt>
                <c:pt idx="298">
                  <c:v>1.7679672191786363E-4</c:v>
                </c:pt>
                <c:pt idx="299">
                  <c:v>1.7808890780436165E-4</c:v>
                </c:pt>
                <c:pt idx="300">
                  <c:v>1.7938659923623796E-4</c:v>
                </c:pt>
                <c:pt idx="301">
                  <c:v>1.8068980457388637E-4</c:v>
                </c:pt>
                <c:pt idx="302">
                  <c:v>1.8199853200962768E-4</c:v>
                </c:pt>
                <c:pt idx="303">
                  <c:v>1.833127899435341E-4</c:v>
                </c:pt>
                <c:pt idx="304">
                  <c:v>1.8463258661052408E-4</c:v>
                </c:pt>
                <c:pt idx="305">
                  <c:v>1.8595792964308622E-4</c:v>
                </c:pt>
                <c:pt idx="306">
                  <c:v>1.8728882650186765E-4</c:v>
                </c:pt>
                <c:pt idx="307">
                  <c:v>1.8862528537475602E-4</c:v>
                </c:pt>
                <c:pt idx="308">
                  <c:v>1.8996731514306486E-4</c:v>
                </c:pt>
                <c:pt idx="309">
                  <c:v>1.9131492427379009E-4</c:v>
                </c:pt>
                <c:pt idx="310">
                  <c:v>1.9266811994953276E-4</c:v>
                </c:pt>
                <c:pt idx="311">
                  <c:v>1.9402690866420321E-4</c:v>
                </c:pt>
                <c:pt idx="312">
                  <c:v>1.9539129738045454E-4</c:v>
                </c:pt>
                <c:pt idx="313">
                  <c:v>1.9676129376863637E-4</c:v>
                </c:pt>
                <c:pt idx="314">
                  <c:v>1.9813690544849533E-4</c:v>
                </c:pt>
                <c:pt idx="315">
                  <c:v>1.9951813947610895E-4</c:v>
                </c:pt>
                <c:pt idx="316">
                  <c:v>2.0090500265967714E-4</c:v>
                </c:pt>
                <c:pt idx="317">
                  <c:v>2.022975019569071E-4</c:v>
                </c:pt>
                <c:pt idx="318">
                  <c:v>2.0369564415241779E-4</c:v>
                </c:pt>
                <c:pt idx="319">
                  <c:v>2.0509943523518517E-4</c:v>
                </c:pt>
                <c:pt idx="320">
                  <c:v>2.0650888054336765E-4</c:v>
                </c:pt>
                <c:pt idx="321">
                  <c:v>2.0792398577261029E-4</c:v>
                </c:pt>
                <c:pt idx="322">
                  <c:v>2.0934475751091243E-4</c:v>
                </c:pt>
                <c:pt idx="323">
                  <c:v>2.1077120248830683E-4</c:v>
                </c:pt>
                <c:pt idx="324">
                  <c:v>2.1220332636263101E-4</c:v>
                </c:pt>
                <c:pt idx="325">
                  <c:v>2.136411336085254E-4</c:v>
                </c:pt>
                <c:pt idx="326">
                  <c:v>2.1508462856813102E-4</c:v>
                </c:pt>
                <c:pt idx="327">
                  <c:v>2.1653381610067113E-4</c:v>
                </c:pt>
                <c:pt idx="328">
                  <c:v>2.1798870111933624E-4</c:v>
                </c:pt>
                <c:pt idx="329">
                  <c:v>2.1944928798896791E-4</c:v>
                </c:pt>
                <c:pt idx="330">
                  <c:v>2.2091558074541242E-4</c:v>
                </c:pt>
                <c:pt idx="331">
                  <c:v>2.2238758361210027E-4</c:v>
                </c:pt>
                <c:pt idx="332">
                  <c:v>2.2386530075723665E-4</c:v>
                </c:pt>
                <c:pt idx="333">
                  <c:v>2.2534873547503539E-4</c:v>
                </c:pt>
                <c:pt idx="334">
                  <c:v>2.2683788995250069E-4</c:v>
                </c:pt>
                <c:pt idx="335">
                  <c:v>2.2833276611029877E-4</c:v>
                </c:pt>
                <c:pt idx="336">
                  <c:v>2.2983336662604813E-4</c:v>
                </c:pt>
                <c:pt idx="337">
                  <c:v>2.3133969467361697E-4</c:v>
                </c:pt>
                <c:pt idx="338">
                  <c:v>2.3285175280383219E-4</c:v>
                </c:pt>
                <c:pt idx="339">
                  <c:v>2.3436954229514041E-4</c:v>
                </c:pt>
                <c:pt idx="340">
                  <c:v>2.3589306369154481E-4</c:v>
                </c:pt>
                <c:pt idx="341">
                  <c:v>2.374223176563683E-4</c:v>
                </c:pt>
                <c:pt idx="342">
                  <c:v>2.3895730486661097E-4</c:v>
                </c:pt>
                <c:pt idx="343">
                  <c:v>2.4049802539329477E-4</c:v>
                </c:pt>
                <c:pt idx="344">
                  <c:v>2.420444787271631E-4</c:v>
                </c:pt>
                <c:pt idx="345">
                  <c:v>2.4359666450506214E-4</c:v>
                </c:pt>
                <c:pt idx="346">
                  <c:v>2.4515458255883887E-4</c:v>
                </c:pt>
                <c:pt idx="347">
                  <c:v>2.4671823201496187E-4</c:v>
                </c:pt>
                <c:pt idx="348">
                  <c:v>2.4828761052849536E-4</c:v>
                </c:pt>
                <c:pt idx="349">
                  <c:v>2.4986271481574463E-4</c:v>
                </c:pt>
                <c:pt idx="350">
                  <c:v>2.5144354184075197E-4</c:v>
                </c:pt>
                <c:pt idx="351">
                  <c:v>2.5303008915696052E-4</c:v>
                </c:pt>
                <c:pt idx="352">
                  <c:v>2.5462235409581818E-4</c:v>
                </c:pt>
                <c:pt idx="353">
                  <c:v>2.5622033285610963E-4</c:v>
                </c:pt>
                <c:pt idx="354">
                  <c:v>2.5782402060703607E-4</c:v>
                </c:pt>
                <c:pt idx="355">
                  <c:v>2.594334121977166E-4</c:v>
                </c:pt>
                <c:pt idx="356">
                  <c:v>2.6104850229118515E-4</c:v>
                </c:pt>
                <c:pt idx="357">
                  <c:v>2.6266928481317981E-4</c:v>
                </c:pt>
                <c:pt idx="358">
                  <c:v>2.6429575278271122E-4</c:v>
                </c:pt>
                <c:pt idx="359">
                  <c:v>2.6592789904071124E-4</c:v>
                </c:pt>
                <c:pt idx="360">
                  <c:v>2.675657168077567E-4</c:v>
                </c:pt>
                <c:pt idx="361">
                  <c:v>2.6920919898643184E-4</c:v>
                </c:pt>
                <c:pt idx="362">
                  <c:v>2.7085833698943111E-4</c:v>
                </c:pt>
                <c:pt idx="363">
                  <c:v>2.7251312064291314E-4</c:v>
                </c:pt>
                <c:pt idx="364">
                  <c:v>2.7417353931962569E-4</c:v>
                </c:pt>
                <c:pt idx="365">
                  <c:v>2.7583958275776338E-4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0FE-44AD-A276-CF3D87C94282}"/>
            </c:ext>
          </c:extLst>
        </c:ser>
        <c:ser>
          <c:idx val="6"/>
          <c:order val="5"/>
          <c:tx>
            <c:v>Jupiter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horizons_error_log2!$J$2:$J$367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horizons_error_log2!$Q$2:$Q$367</c:f>
              <c:numCache>
                <c:formatCode>General</c:formatCode>
                <c:ptCount val="366"/>
                <c:pt idx="0">
                  <c:v>0</c:v>
                </c:pt>
                <c:pt idx="1">
                  <c:v>5.5774692161538566E-7</c:v>
                </c:pt>
                <c:pt idx="2">
                  <c:v>8.0315014437663096E-7</c:v>
                </c:pt>
                <c:pt idx="3">
                  <c:v>2.0837844965498061E-6</c:v>
                </c:pt>
                <c:pt idx="4">
                  <c:v>3.2326653055160224E-6</c:v>
                </c:pt>
                <c:pt idx="5">
                  <c:v>4.6256673117693652E-6</c:v>
                </c:pt>
                <c:pt idx="6">
                  <c:v>5.191200169395835E-6</c:v>
                </c:pt>
                <c:pt idx="7">
                  <c:v>5.8738199853971792E-6</c:v>
                </c:pt>
                <c:pt idx="8">
                  <c:v>6.2157486686317311E-6</c:v>
                </c:pt>
                <c:pt idx="9">
                  <c:v>6.2656886327488104E-6</c:v>
                </c:pt>
                <c:pt idx="10">
                  <c:v>6.658420437656758E-6</c:v>
                </c:pt>
                <c:pt idx="11">
                  <c:v>7.2863400888941184E-6</c:v>
                </c:pt>
                <c:pt idx="12">
                  <c:v>8.4717503844316179E-6</c:v>
                </c:pt>
                <c:pt idx="13">
                  <c:v>8.7223227890148391E-6</c:v>
                </c:pt>
                <c:pt idx="14">
                  <c:v>9.2097955628667774E-6</c:v>
                </c:pt>
                <c:pt idx="15">
                  <c:v>9.3087412794532082E-6</c:v>
                </c:pt>
                <c:pt idx="16">
                  <c:v>9.4023693431490645E-6</c:v>
                </c:pt>
                <c:pt idx="17">
                  <c:v>9.8806572787909767E-6</c:v>
                </c:pt>
                <c:pt idx="18">
                  <c:v>1.0874659275062902E-5</c:v>
                </c:pt>
                <c:pt idx="19">
                  <c:v>1.2544179964681016E-5</c:v>
                </c:pt>
                <c:pt idx="20">
                  <c:v>1.3317286922727607E-5</c:v>
                </c:pt>
                <c:pt idx="21">
                  <c:v>1.4320887846903944E-5</c:v>
                </c:pt>
                <c:pt idx="22">
                  <c:v>1.4797363487473396E-5</c:v>
                </c:pt>
                <c:pt idx="23">
                  <c:v>1.5213779044204814E-5</c:v>
                </c:pt>
                <c:pt idx="24">
                  <c:v>1.5615966720832819E-5</c:v>
                </c:pt>
                <c:pt idx="25">
                  <c:v>1.6415162293489904E-5</c:v>
                </c:pt>
                <c:pt idx="26">
                  <c:v>1.7748609798197726E-5</c:v>
                </c:pt>
                <c:pt idx="27">
                  <c:v>1.8185494459862367E-5</c:v>
                </c:pt>
                <c:pt idx="28">
                  <c:v>1.8777018651870118E-5</c:v>
                </c:pt>
                <c:pt idx="29">
                  <c:v>1.8742562679404878E-5</c:v>
                </c:pt>
                <c:pt idx="30">
                  <c:v>1.8818063659271256E-5</c:v>
                </c:pt>
                <c:pt idx="31">
                  <c:v>1.8741904814958088E-5</c:v>
                </c:pt>
                <c:pt idx="32">
                  <c:v>1.9383349036001603E-5</c:v>
                </c:pt>
                <c:pt idx="33">
                  <c:v>2.0745603426962968E-5</c:v>
                </c:pt>
                <c:pt idx="34">
                  <c:v>2.1505593727403676E-5</c:v>
                </c:pt>
                <c:pt idx="35">
                  <c:v>2.251731471520341E-5</c:v>
                </c:pt>
                <c:pt idx="36">
                  <c:v>2.2968288025739707E-5</c:v>
                </c:pt>
                <c:pt idx="37">
                  <c:v>2.3619523783256617E-5</c:v>
                </c:pt>
                <c:pt idx="38">
                  <c:v>2.3933976468540042E-5</c:v>
                </c:pt>
                <c:pt idx="39">
                  <c:v>2.4916057706740238E-5</c:v>
                </c:pt>
                <c:pt idx="40">
                  <c:v>2.6389658403564373E-5</c:v>
                </c:pt>
                <c:pt idx="41">
                  <c:v>2.7237853997211632E-5</c:v>
                </c:pt>
                <c:pt idx="42">
                  <c:v>2.8089632491043652E-5</c:v>
                </c:pt>
                <c:pt idx="43">
                  <c:v>2.8223494984375869E-5</c:v>
                </c:pt>
                <c:pt idx="44">
                  <c:v>2.8500862831845656E-5</c:v>
                </c:pt>
                <c:pt idx="45">
                  <c:v>2.817526727232854E-5</c:v>
                </c:pt>
                <c:pt idx="46">
                  <c:v>2.8619500118905546E-5</c:v>
                </c:pt>
                <c:pt idx="47">
                  <c:v>2.9585414882934962E-5</c:v>
                </c:pt>
                <c:pt idx="48">
                  <c:v>3.0302490327780815E-5</c:v>
                </c:pt>
                <c:pt idx="49">
                  <c:v>3.1092471763187034E-5</c:v>
                </c:pt>
                <c:pt idx="50">
                  <c:v>3.1383714458503543E-5</c:v>
                </c:pt>
                <c:pt idx="51">
                  <c:v>3.2005007324523396E-5</c:v>
                </c:pt>
                <c:pt idx="52">
                  <c:v>3.2051423660428938E-5</c:v>
                </c:pt>
                <c:pt idx="53">
                  <c:v>3.2988645093049667E-5</c:v>
                </c:pt>
                <c:pt idx="54">
                  <c:v>3.4375049570678476E-5</c:v>
                </c:pt>
                <c:pt idx="55">
                  <c:v>3.561740039107941E-5</c:v>
                </c:pt>
                <c:pt idx="56">
                  <c:v>3.6702818631919518E-5</c:v>
                </c:pt>
                <c:pt idx="57">
                  <c:v>3.7184419710350068E-5</c:v>
                </c:pt>
                <c:pt idx="58">
                  <c:v>3.7801296754878279E-5</c:v>
                </c:pt>
                <c:pt idx="59">
                  <c:v>3.7558887847512634E-5</c:v>
                </c:pt>
                <c:pt idx="60">
                  <c:v>3.8051012813409159E-5</c:v>
                </c:pt>
                <c:pt idx="61">
                  <c:v>3.8807059931095788E-5</c:v>
                </c:pt>
                <c:pt idx="62">
                  <c:v>3.9656328540164842E-5</c:v>
                </c:pt>
                <c:pt idx="63">
                  <c:v>4.0257664429287899E-5</c:v>
                </c:pt>
                <c:pt idx="64">
                  <c:v>4.0464091792740575E-5</c:v>
                </c:pt>
                <c:pt idx="65">
                  <c:v>4.0910671386208354E-5</c:v>
                </c:pt>
                <c:pt idx="66">
                  <c:v>4.0636295530990171E-5</c:v>
                </c:pt>
                <c:pt idx="67">
                  <c:v>4.1263167556407816E-5</c:v>
                </c:pt>
                <c:pt idx="68">
                  <c:v>4.2263521174202074E-5</c:v>
                </c:pt>
                <c:pt idx="69">
                  <c:v>4.3664238781895258E-5</c:v>
                </c:pt>
                <c:pt idx="70">
                  <c:v>4.475465906473362E-5</c:v>
                </c:pt>
                <c:pt idx="71">
                  <c:v>4.5528665303029074E-5</c:v>
                </c:pt>
                <c:pt idx="72">
                  <c:v>4.6393246048976808E-5</c:v>
                </c:pt>
                <c:pt idx="73">
                  <c:v>4.6394050832526736E-5</c:v>
                </c:pt>
                <c:pt idx="74">
                  <c:v>4.7039210156105884E-5</c:v>
                </c:pt>
                <c:pt idx="75">
                  <c:v>4.7792885614190312E-5</c:v>
                </c:pt>
                <c:pt idx="76">
                  <c:v>4.8981189166520926E-5</c:v>
                </c:pt>
                <c:pt idx="77">
                  <c:v>4.9613543881549201E-5</c:v>
                </c:pt>
                <c:pt idx="78">
                  <c:v>4.9994526548012368E-5</c:v>
                </c:pt>
                <c:pt idx="79">
                  <c:v>5.0357292138725868E-5</c:v>
                </c:pt>
                <c:pt idx="80">
                  <c:v>4.9960500896322395E-5</c:v>
                </c:pt>
                <c:pt idx="81">
                  <c:v>5.0208832690484488E-5</c:v>
                </c:pt>
                <c:pt idx="82">
                  <c:v>5.0707847632643851E-5</c:v>
                </c:pt>
                <c:pt idx="83">
                  <c:v>5.2013691615641308E-5</c:v>
                </c:pt>
                <c:pt idx="84">
                  <c:v>5.2861685893630413E-5</c:v>
                </c:pt>
                <c:pt idx="85">
                  <c:v>5.372495123240595E-5</c:v>
                </c:pt>
                <c:pt idx="86">
                  <c:v>5.4564328517738303E-5</c:v>
                </c:pt>
                <c:pt idx="87">
                  <c:v>5.474786021370241E-5</c:v>
                </c:pt>
                <c:pt idx="88">
                  <c:v>5.540242632940528E-5</c:v>
                </c:pt>
                <c:pt idx="89">
                  <c:v>5.6173563848783296E-5</c:v>
                </c:pt>
                <c:pt idx="90">
                  <c:v>5.7712144005949396E-5</c:v>
                </c:pt>
                <c:pt idx="91">
                  <c:v>5.8547494027761164E-5</c:v>
                </c:pt>
                <c:pt idx="92">
                  <c:v>5.933632756131999E-5</c:v>
                </c:pt>
                <c:pt idx="93">
                  <c:v>5.9821174950212434E-5</c:v>
                </c:pt>
                <c:pt idx="94">
                  <c:v>5.9648930683234495E-5</c:v>
                </c:pt>
                <c:pt idx="95">
                  <c:v>5.9690999529426741E-5</c:v>
                </c:pt>
                <c:pt idx="96">
                  <c:v>5.9867532129398333E-5</c:v>
                </c:pt>
                <c:pt idx="97">
                  <c:v>6.1007120987450128E-5</c:v>
                </c:pt>
                <c:pt idx="98">
                  <c:v>6.1571673834422936E-5</c:v>
                </c:pt>
                <c:pt idx="99">
                  <c:v>6.2377601379737501E-5</c:v>
                </c:pt>
                <c:pt idx="100">
                  <c:v>6.2957077577631494E-5</c:v>
                </c:pt>
                <c:pt idx="101">
                  <c:v>6.3180712862035625E-5</c:v>
                </c:pt>
                <c:pt idx="102">
                  <c:v>6.3569966785862359E-5</c:v>
                </c:pt>
                <c:pt idx="103">
                  <c:v>6.4195183685957684E-5</c:v>
                </c:pt>
                <c:pt idx="104">
                  <c:v>6.5827681309188894E-5</c:v>
                </c:pt>
                <c:pt idx="105">
                  <c:v>6.683133425171925E-5</c:v>
                </c:pt>
                <c:pt idx="106">
                  <c:v>6.8027549901050806E-5</c:v>
                </c:pt>
                <c:pt idx="107">
                  <c:v>6.8731580172974593E-5</c:v>
                </c:pt>
                <c:pt idx="108">
                  <c:v>6.9035022422075527E-5</c:v>
                </c:pt>
                <c:pt idx="109">
                  <c:v>6.9101361047901741E-5</c:v>
                </c:pt>
                <c:pt idx="110">
                  <c:v>6.9280053270367651E-5</c:v>
                </c:pt>
                <c:pt idx="111">
                  <c:v>7.0368472117496655E-5</c:v>
                </c:pt>
                <c:pt idx="112">
                  <c:v>7.0868934130790108E-5</c:v>
                </c:pt>
                <c:pt idx="113">
                  <c:v>7.1664720677868318E-5</c:v>
                </c:pt>
                <c:pt idx="114">
                  <c:v>7.199063308171591E-5</c:v>
                </c:pt>
                <c:pt idx="115">
                  <c:v>7.2220310957282083E-5</c:v>
                </c:pt>
                <c:pt idx="116">
                  <c:v>7.218445056578409E-5</c:v>
                </c:pt>
                <c:pt idx="117">
                  <c:v>7.2504373363870984E-5</c:v>
                </c:pt>
                <c:pt idx="118">
                  <c:v>7.3864347995268042E-5</c:v>
                </c:pt>
                <c:pt idx="119">
                  <c:v>7.4850885409835554E-5</c:v>
                </c:pt>
                <c:pt idx="120">
                  <c:v>7.6205435901139707E-5</c:v>
                </c:pt>
                <c:pt idx="121">
                  <c:v>7.7019684639225265E-5</c:v>
                </c:pt>
                <c:pt idx="122">
                  <c:v>7.7779265616594246E-5</c:v>
                </c:pt>
                <c:pt idx="123">
                  <c:v>7.7942160953643053E-5</c:v>
                </c:pt>
                <c:pt idx="124">
                  <c:v>7.8323975213610294E-5</c:v>
                </c:pt>
                <c:pt idx="125">
                  <c:v>7.9465726705406421E-5</c:v>
                </c:pt>
                <c:pt idx="126">
                  <c:v>8.0199607180333555E-5</c:v>
                </c:pt>
                <c:pt idx="127">
                  <c:v>8.1159828107262694E-5</c:v>
                </c:pt>
                <c:pt idx="128">
                  <c:v>8.1480169580451866E-5</c:v>
                </c:pt>
                <c:pt idx="129">
                  <c:v>8.1861965939179806E-5</c:v>
                </c:pt>
                <c:pt idx="130">
                  <c:v>8.1518620053205884E-5</c:v>
                </c:pt>
                <c:pt idx="131">
                  <c:v>8.1564741349256676E-5</c:v>
                </c:pt>
                <c:pt idx="132">
                  <c:v>8.2433118770624996E-5</c:v>
                </c:pt>
                <c:pt idx="133">
                  <c:v>8.3263133222045448E-5</c:v>
                </c:pt>
                <c:pt idx="134">
                  <c:v>8.4466677757731286E-5</c:v>
                </c:pt>
                <c:pt idx="135">
                  <c:v>8.5192452930062156E-5</c:v>
                </c:pt>
                <c:pt idx="136">
                  <c:v>8.6161363876475274E-5</c:v>
                </c:pt>
                <c:pt idx="137">
                  <c:v>8.6302408451649064E-5</c:v>
                </c:pt>
                <c:pt idx="138">
                  <c:v>8.6824618989979276E-5</c:v>
                </c:pt>
                <c:pt idx="139">
                  <c:v>8.7929121433436499E-5</c:v>
                </c:pt>
                <c:pt idx="140">
                  <c:v>8.9016742427824869E-5</c:v>
                </c:pt>
                <c:pt idx="141">
                  <c:v>9.0227055924887702E-5</c:v>
                </c:pt>
                <c:pt idx="142">
                  <c:v>9.081694543002205E-5</c:v>
                </c:pt>
                <c:pt idx="143">
                  <c:v>9.1549410557156415E-5</c:v>
                </c:pt>
                <c:pt idx="144">
                  <c:v>9.122449529752407E-5</c:v>
                </c:pt>
                <c:pt idx="145">
                  <c:v>9.1230786779749321E-5</c:v>
                </c:pt>
                <c:pt idx="146">
                  <c:v>9.1677460205221922E-5</c:v>
                </c:pt>
                <c:pt idx="147">
                  <c:v>9.2410288148603602E-5</c:v>
                </c:pt>
                <c:pt idx="148">
                  <c:v>9.3325041231490639E-5</c:v>
                </c:pt>
                <c:pt idx="149">
                  <c:v>9.3880535140352945E-5</c:v>
                </c:pt>
                <c:pt idx="150">
                  <c:v>9.4794681198735292E-5</c:v>
                </c:pt>
                <c:pt idx="151">
                  <c:v>9.4771190185598259E-5</c:v>
                </c:pt>
                <c:pt idx="152">
                  <c:v>9.5206853432333561E-5</c:v>
                </c:pt>
                <c:pt idx="153">
                  <c:v>9.6020139463106284E-5</c:v>
                </c:pt>
                <c:pt idx="154">
                  <c:v>9.7314834002082222E-5</c:v>
                </c:pt>
                <c:pt idx="155">
                  <c:v>9.8632740478366978E-5</c:v>
                </c:pt>
                <c:pt idx="156">
                  <c:v>9.9565053366090247E-5</c:v>
                </c:pt>
                <c:pt idx="157">
                  <c:v>1.0068119425251805E-4</c:v>
                </c:pt>
                <c:pt idx="158">
                  <c:v>1.0066245430433088E-4</c:v>
                </c:pt>
                <c:pt idx="159">
                  <c:v>1.0087312743613102E-4</c:v>
                </c:pt>
                <c:pt idx="160">
                  <c:v>1.0115151361992848E-4</c:v>
                </c:pt>
                <c:pt idx="161">
                  <c:v>1.020060186169913E-4</c:v>
                </c:pt>
                <c:pt idx="162">
                  <c:v>1.027487711910381E-4</c:v>
                </c:pt>
                <c:pt idx="163">
                  <c:v>1.0327877371567312E-4</c:v>
                </c:pt>
                <c:pt idx="164">
                  <c:v>1.0405880111675E-4</c:v>
                </c:pt>
                <c:pt idx="165">
                  <c:v>1.0390059927759827E-4</c:v>
                </c:pt>
                <c:pt idx="166">
                  <c:v>1.0408424239360829E-4</c:v>
                </c:pt>
                <c:pt idx="167">
                  <c:v>1.0440274727560829E-4</c:v>
                </c:pt>
                <c:pt idx="168">
                  <c:v>1.0562821799479879E-4</c:v>
                </c:pt>
                <c:pt idx="169">
                  <c:v>1.0677152426438636E-4</c:v>
                </c:pt>
                <c:pt idx="170">
                  <c:v>1.0788761292201604E-4</c:v>
                </c:pt>
                <c:pt idx="171">
                  <c:v>1.0917394034744117E-4</c:v>
                </c:pt>
                <c:pt idx="172">
                  <c:v>1.0952019101318047E-4</c:v>
                </c:pt>
                <c:pt idx="173">
                  <c:v>1.0996978615329879E-4</c:v>
                </c:pt>
                <c:pt idx="174">
                  <c:v>1.1026343069197393E-4</c:v>
                </c:pt>
                <c:pt idx="175">
                  <c:v>1.1139760533803677E-4</c:v>
                </c:pt>
                <c:pt idx="176">
                  <c:v>1.1219115403591713E-4</c:v>
                </c:pt>
                <c:pt idx="177">
                  <c:v>1.1296588722905014E-4</c:v>
                </c:pt>
                <c:pt idx="178">
                  <c:v>1.1374521409897325E-4</c:v>
                </c:pt>
                <c:pt idx="179">
                  <c:v>1.1370580562453075E-4</c:v>
                </c:pt>
                <c:pt idx="180">
                  <c:v>1.1369247383421725E-4</c:v>
                </c:pt>
                <c:pt idx="181">
                  <c:v>1.1356138272398931E-4</c:v>
                </c:pt>
                <c:pt idx="182">
                  <c:v>1.1453573628109893E-4</c:v>
                </c:pt>
                <c:pt idx="183">
                  <c:v>1.1531125828610295E-4</c:v>
                </c:pt>
                <c:pt idx="184">
                  <c:v>1.1638911518290442E-4</c:v>
                </c:pt>
                <c:pt idx="185">
                  <c:v>1.1753046380157953E-4</c:v>
                </c:pt>
                <c:pt idx="186">
                  <c:v>1.1810336330649799E-4</c:v>
                </c:pt>
                <c:pt idx="187">
                  <c:v>1.1859313171702139E-4</c:v>
                </c:pt>
                <c:pt idx="188">
                  <c:v>1.1887472639138502E-4</c:v>
                </c:pt>
                <c:pt idx="189">
                  <c:v>1.2019342961934825E-4</c:v>
                </c:pt>
                <c:pt idx="190">
                  <c:v>1.2112848455630014E-4</c:v>
                </c:pt>
                <c:pt idx="191">
                  <c:v>1.2229817531703209E-4</c:v>
                </c:pt>
                <c:pt idx="192">
                  <c:v>1.2324310086794988E-4</c:v>
                </c:pt>
                <c:pt idx="193">
                  <c:v>1.2363806624748262E-4</c:v>
                </c:pt>
                <c:pt idx="194">
                  <c:v>1.2365825430396123E-4</c:v>
                </c:pt>
                <c:pt idx="195">
                  <c:v>1.2337739591925466E-4</c:v>
                </c:pt>
                <c:pt idx="196">
                  <c:v>1.2413726914970187E-4</c:v>
                </c:pt>
                <c:pt idx="197">
                  <c:v>1.2461061628074531E-4</c:v>
                </c:pt>
                <c:pt idx="198">
                  <c:v>1.255643949075528E-4</c:v>
                </c:pt>
                <c:pt idx="199">
                  <c:v>1.2638240461607084E-4</c:v>
                </c:pt>
                <c:pt idx="200">
                  <c:v>1.270324873236885E-4</c:v>
                </c:pt>
                <c:pt idx="201">
                  <c:v>1.2731884848342847E-4</c:v>
                </c:pt>
                <c:pt idx="202">
                  <c:v>1.2744318993762301E-4</c:v>
                </c:pt>
                <c:pt idx="203">
                  <c:v>1.2863425076347861E-4</c:v>
                </c:pt>
                <c:pt idx="204">
                  <c:v>1.295903139652941E-4</c:v>
                </c:pt>
                <c:pt idx="205">
                  <c:v>1.3103038965849934E-4</c:v>
                </c:pt>
                <c:pt idx="206">
                  <c:v>1.3213491551347659E-4</c:v>
                </c:pt>
                <c:pt idx="207">
                  <c:v>1.3309109733526003E-4</c:v>
                </c:pt>
                <c:pt idx="208">
                  <c:v>1.3333329675754813E-4</c:v>
                </c:pt>
                <c:pt idx="209">
                  <c:v>1.3324231321964707E-4</c:v>
                </c:pt>
                <c:pt idx="210">
                  <c:v>1.3395283396937902E-4</c:v>
                </c:pt>
                <c:pt idx="211">
                  <c:v>1.3440671015646928E-4</c:v>
                </c:pt>
                <c:pt idx="212">
                  <c:v>1.3534892965372659E-4</c:v>
                </c:pt>
                <c:pt idx="213">
                  <c:v>1.3593891393043583E-4</c:v>
                </c:pt>
                <c:pt idx="214">
                  <c:v>1.3666988891989908E-4</c:v>
                </c:pt>
                <c:pt idx="215">
                  <c:v>1.3669085085186899E-4</c:v>
                </c:pt>
                <c:pt idx="216">
                  <c:v>1.3659740976353142E-4</c:v>
                </c:pt>
                <c:pt idx="217">
                  <c:v>1.3735823880924397E-4</c:v>
                </c:pt>
                <c:pt idx="218">
                  <c:v>1.3814302867442982E-4</c:v>
                </c:pt>
                <c:pt idx="219">
                  <c:v>1.3954061110596857E-4</c:v>
                </c:pt>
                <c:pt idx="220">
                  <c:v>1.4061764230252676E-4</c:v>
                </c:pt>
                <c:pt idx="221">
                  <c:v>1.4197168484594654E-4</c:v>
                </c:pt>
                <c:pt idx="222">
                  <c:v>1.4241581863766177E-4</c:v>
                </c:pt>
                <c:pt idx="223">
                  <c:v>1.4264454343587633E-4</c:v>
                </c:pt>
                <c:pt idx="224">
                  <c:v>1.4337475415905816E-4</c:v>
                </c:pt>
                <c:pt idx="225">
                  <c:v>1.440683913250595E-4</c:v>
                </c:pt>
                <c:pt idx="226">
                  <c:v>1.4516464926622057E-4</c:v>
                </c:pt>
                <c:pt idx="227">
                  <c:v>1.4580593411442849E-4</c:v>
                </c:pt>
                <c:pt idx="228">
                  <c:v>1.4677543000800468E-4</c:v>
                </c:pt>
                <c:pt idx="229">
                  <c:v>1.4673142790800267E-4</c:v>
                </c:pt>
                <c:pt idx="230">
                  <c:v>1.465677400105488E-4</c:v>
                </c:pt>
                <c:pt idx="231">
                  <c:v>1.4682833732041644E-4</c:v>
                </c:pt>
                <c:pt idx="232">
                  <c:v>1.4738011562347595E-4</c:v>
                </c:pt>
                <c:pt idx="233">
                  <c:v>1.48469379815119E-4</c:v>
                </c:pt>
                <c:pt idx="234">
                  <c:v>1.49330558279E-4</c:v>
                </c:pt>
                <c:pt idx="235">
                  <c:v>1.5076287319379077E-4</c:v>
                </c:pt>
                <c:pt idx="236">
                  <c:v>1.5123668771808223E-4</c:v>
                </c:pt>
                <c:pt idx="237">
                  <c:v>1.5165761488259558E-4</c:v>
                </c:pt>
                <c:pt idx="238">
                  <c:v>1.5226910847463836E-4</c:v>
                </c:pt>
                <c:pt idx="239">
                  <c:v>1.5322026255475065E-4</c:v>
                </c:pt>
                <c:pt idx="240">
                  <c:v>1.5446923340553745E-4</c:v>
                </c:pt>
                <c:pt idx="241">
                  <c:v>1.5537062831917113E-4</c:v>
                </c:pt>
                <c:pt idx="242">
                  <c:v>1.5670538000069452E-4</c:v>
                </c:pt>
                <c:pt idx="243">
                  <c:v>1.5691298174584089E-4</c:v>
                </c:pt>
                <c:pt idx="244">
                  <c:v>1.5696072951440373E-4</c:v>
                </c:pt>
                <c:pt idx="245">
                  <c:v>1.5692450120989506E-4</c:v>
                </c:pt>
                <c:pt idx="246">
                  <c:v>1.5739714526655682E-4</c:v>
                </c:pt>
                <c:pt idx="247">
                  <c:v>1.5814810889377474E-4</c:v>
                </c:pt>
                <c:pt idx="248">
                  <c:v>1.587927990976417E-4</c:v>
                </c:pt>
                <c:pt idx="249">
                  <c:v>1.6006296334361431E-4</c:v>
                </c:pt>
                <c:pt idx="250">
                  <c:v>1.6044395912156683E-4</c:v>
                </c:pt>
                <c:pt idx="251">
                  <c:v>1.6084211917876136E-4</c:v>
                </c:pt>
                <c:pt idx="252">
                  <c:v>1.6111189033262232E-4</c:v>
                </c:pt>
                <c:pt idx="253">
                  <c:v>1.6210873861985495E-4</c:v>
                </c:pt>
                <c:pt idx="254">
                  <c:v>1.6329025106043182E-4</c:v>
                </c:pt>
                <c:pt idx="255">
                  <c:v>1.6441723814580614E-4</c:v>
                </c:pt>
                <c:pt idx="256">
                  <c:v>1.6602002906596994E-4</c:v>
                </c:pt>
                <c:pt idx="257">
                  <c:v>1.6665765729354946E-4</c:v>
                </c:pt>
                <c:pt idx="258">
                  <c:v>1.6710206333414373E-4</c:v>
                </c:pt>
                <c:pt idx="259">
                  <c:v>1.6705798510550267E-4</c:v>
                </c:pt>
                <c:pt idx="260">
                  <c:v>1.6769609169326737E-4</c:v>
                </c:pt>
                <c:pt idx="261">
                  <c:v>1.6830283667771924E-4</c:v>
                </c:pt>
                <c:pt idx="262">
                  <c:v>1.6895008489168384E-4</c:v>
                </c:pt>
                <c:pt idx="263">
                  <c:v>1.7004765569475535E-4</c:v>
                </c:pt>
                <c:pt idx="264">
                  <c:v>1.7042157538920189E-4</c:v>
                </c:pt>
                <c:pt idx="265">
                  <c:v>1.7070975263471725E-4</c:v>
                </c:pt>
                <c:pt idx="266">
                  <c:v>1.705553098862099E-4</c:v>
                </c:pt>
                <c:pt idx="267">
                  <c:v>1.7135604487569249E-4</c:v>
                </c:pt>
                <c:pt idx="268">
                  <c:v>1.7220189594640577E-4</c:v>
                </c:pt>
                <c:pt idx="269">
                  <c:v>1.7334228810896658E-4</c:v>
                </c:pt>
                <c:pt idx="270">
                  <c:v>1.7490758166023262E-4</c:v>
                </c:pt>
                <c:pt idx="271">
                  <c:v>1.7590248042285761E-4</c:v>
                </c:pt>
                <c:pt idx="272">
                  <c:v>1.766685036313536E-4</c:v>
                </c:pt>
                <c:pt idx="273">
                  <c:v>1.767509189798008E-4</c:v>
                </c:pt>
                <c:pt idx="274">
                  <c:v>1.776461936065615E-4</c:v>
                </c:pt>
                <c:pt idx="275">
                  <c:v>1.7831269500379746E-4</c:v>
                </c:pt>
                <c:pt idx="276">
                  <c:v>1.7922105020585095E-4</c:v>
                </c:pt>
                <c:pt idx="277">
                  <c:v>1.8030600271323462E-4</c:v>
                </c:pt>
                <c:pt idx="278">
                  <c:v>1.8094110341563635E-4</c:v>
                </c:pt>
                <c:pt idx="279">
                  <c:v>1.8124716705788033E-4</c:v>
                </c:pt>
                <c:pt idx="280">
                  <c:v>1.808553617289726E-4</c:v>
                </c:pt>
                <c:pt idx="281">
                  <c:v>1.8138886241550066E-4</c:v>
                </c:pt>
                <c:pt idx="282">
                  <c:v>1.8181017650645119E-4</c:v>
                </c:pt>
                <c:pt idx="283">
                  <c:v>1.8278117201680415E-4</c:v>
                </c:pt>
                <c:pt idx="284">
                  <c:v>1.8400659207645455E-4</c:v>
                </c:pt>
                <c:pt idx="285">
                  <c:v>1.8514989433930147E-4</c:v>
                </c:pt>
                <c:pt idx="286">
                  <c:v>1.8597559645195454E-4</c:v>
                </c:pt>
                <c:pt idx="287">
                  <c:v>1.8611502395820054E-4</c:v>
                </c:pt>
                <c:pt idx="288">
                  <c:v>1.8709223754204745E-4</c:v>
                </c:pt>
                <c:pt idx="289">
                  <c:v>1.8783065827791443E-4</c:v>
                </c:pt>
                <c:pt idx="290">
                  <c:v>1.8905261775006217E-4</c:v>
                </c:pt>
                <c:pt idx="291">
                  <c:v>1.9023203667510694E-4</c:v>
                </c:pt>
                <c:pt idx="292">
                  <c:v>1.9135995983037633E-4</c:v>
                </c:pt>
                <c:pt idx="293">
                  <c:v>1.9190322724925804E-4</c:v>
                </c:pt>
                <c:pt idx="294">
                  <c:v>1.9164121967266912E-4</c:v>
                </c:pt>
                <c:pt idx="295">
                  <c:v>1.9204660652305145E-4</c:v>
                </c:pt>
                <c:pt idx="296">
                  <c:v>1.9222819830091778E-4</c:v>
                </c:pt>
                <c:pt idx="297">
                  <c:v>1.9303702178647059E-4</c:v>
                </c:pt>
                <c:pt idx="298">
                  <c:v>1.9384360495501872E-4</c:v>
                </c:pt>
                <c:pt idx="299">
                  <c:v>1.9499443633810162E-4</c:v>
                </c:pt>
                <c:pt idx="300">
                  <c:v>1.9565925938133891E-4</c:v>
                </c:pt>
                <c:pt idx="301">
                  <c:v>1.9573872709861766E-4</c:v>
                </c:pt>
                <c:pt idx="302">
                  <c:v>1.9648863464489171E-4</c:v>
                </c:pt>
                <c:pt idx="303">
                  <c:v>1.9713831256126202E-4</c:v>
                </c:pt>
                <c:pt idx="304">
                  <c:v>1.9845782144200602E-4</c:v>
                </c:pt>
                <c:pt idx="305">
                  <c:v>1.996386015035234E-4</c:v>
                </c:pt>
                <c:pt idx="306">
                  <c:v>2.012334716863817E-4</c:v>
                </c:pt>
                <c:pt idx="307">
                  <c:v>2.0209787279772929E-4</c:v>
                </c:pt>
                <c:pt idx="308">
                  <c:v>2.022538203363643E-4</c:v>
                </c:pt>
                <c:pt idx="309">
                  <c:v>2.027125750828543E-4</c:v>
                </c:pt>
                <c:pt idx="310">
                  <c:v>2.0297808624168985E-4</c:v>
                </c:pt>
                <c:pt idx="311">
                  <c:v>2.0379824048441845E-4</c:v>
                </c:pt>
                <c:pt idx="312">
                  <c:v>2.0438313346615174E-4</c:v>
                </c:pt>
                <c:pt idx="313">
                  <c:v>2.0558591099651205E-4</c:v>
                </c:pt>
                <c:pt idx="314">
                  <c:v>2.0609869377119118E-4</c:v>
                </c:pt>
                <c:pt idx="315">
                  <c:v>2.0613984857430348E-4</c:v>
                </c:pt>
                <c:pt idx="316">
                  <c:v>2.0646545943052674E-4</c:v>
                </c:pt>
                <c:pt idx="317">
                  <c:v>2.0688329611706684E-4</c:v>
                </c:pt>
                <c:pt idx="318">
                  <c:v>2.0798789590886497E-4</c:v>
                </c:pt>
                <c:pt idx="319">
                  <c:v>2.0896035324665239E-4</c:v>
                </c:pt>
                <c:pt idx="320">
                  <c:v>2.1073814719786832E-4</c:v>
                </c:pt>
                <c:pt idx="321">
                  <c:v>2.1178684352857752E-4</c:v>
                </c:pt>
                <c:pt idx="322">
                  <c:v>2.1237769844357555E-4</c:v>
                </c:pt>
                <c:pt idx="323">
                  <c:v>2.1290293254618315E-4</c:v>
                </c:pt>
                <c:pt idx="324">
                  <c:v>2.1344829985882753E-4</c:v>
                </c:pt>
                <c:pt idx="325">
                  <c:v>2.1441377196975266E-4</c:v>
                </c:pt>
                <c:pt idx="326">
                  <c:v>2.1507185068327873E-4</c:v>
                </c:pt>
                <c:pt idx="327">
                  <c:v>2.1647818380663569E-4</c:v>
                </c:pt>
                <c:pt idx="328">
                  <c:v>2.1707420294343448E-4</c:v>
                </c:pt>
                <c:pt idx="329">
                  <c:v>2.1728938497113837E-4</c:v>
                </c:pt>
                <c:pt idx="330">
                  <c:v>2.1726585290409025E-4</c:v>
                </c:pt>
                <c:pt idx="331">
                  <c:v>2.1749799312205482E-4</c:v>
                </c:pt>
                <c:pt idx="332">
                  <c:v>2.1821836892234225E-4</c:v>
                </c:pt>
                <c:pt idx="333">
                  <c:v>2.1886469913870454E-4</c:v>
                </c:pt>
                <c:pt idx="334">
                  <c:v>2.2048781052237435E-4</c:v>
                </c:pt>
                <c:pt idx="335">
                  <c:v>2.2150088588766779E-4</c:v>
                </c:pt>
                <c:pt idx="336">
                  <c:v>2.2232382482100869E-4</c:v>
                </c:pt>
                <c:pt idx="337">
                  <c:v>2.2274337981411564E-4</c:v>
                </c:pt>
                <c:pt idx="338">
                  <c:v>2.2349747508037098E-4</c:v>
                </c:pt>
                <c:pt idx="339">
                  <c:v>2.2452414935932421E-4</c:v>
                </c:pt>
                <c:pt idx="340">
                  <c:v>2.2538895168634361E-4</c:v>
                </c:pt>
                <c:pt idx="341">
                  <c:v>2.2703678094905546E-4</c:v>
                </c:pt>
                <c:pt idx="342">
                  <c:v>2.2796601403905347E-4</c:v>
                </c:pt>
                <c:pt idx="343">
                  <c:v>2.2860855063997593E-4</c:v>
                </c:pt>
                <c:pt idx="344">
                  <c:v>2.2852482554544718E-4</c:v>
                </c:pt>
                <c:pt idx="345">
                  <c:v>2.2880878710771188E-4</c:v>
                </c:pt>
                <c:pt idx="346">
                  <c:v>2.2923701737275536E-4</c:v>
                </c:pt>
                <c:pt idx="347">
                  <c:v>2.2967131524749798E-4</c:v>
                </c:pt>
                <c:pt idx="348">
                  <c:v>2.3097451332801874E-4</c:v>
                </c:pt>
                <c:pt idx="349">
                  <c:v>2.3185980741990974E-4</c:v>
                </c:pt>
                <c:pt idx="350">
                  <c:v>2.3270448584168787E-4</c:v>
                </c:pt>
                <c:pt idx="351">
                  <c:v>2.3284622835760628E-4</c:v>
                </c:pt>
                <c:pt idx="352">
                  <c:v>2.3357816201928207E-4</c:v>
                </c:pt>
                <c:pt idx="353">
                  <c:v>2.3441363178506016E-4</c:v>
                </c:pt>
                <c:pt idx="354">
                  <c:v>2.35375149245375E-4</c:v>
                </c:pt>
                <c:pt idx="355">
                  <c:v>2.3706130533458555E-4</c:v>
                </c:pt>
                <c:pt idx="356">
                  <c:v>2.3836223711769919E-4</c:v>
                </c:pt>
                <c:pt idx="357">
                  <c:v>2.3949162920945189E-4</c:v>
                </c:pt>
                <c:pt idx="358">
                  <c:v>2.3960926558752404E-4</c:v>
                </c:pt>
                <c:pt idx="359">
                  <c:v>2.4017641374715978E-4</c:v>
                </c:pt>
                <c:pt idx="360">
                  <c:v>2.4055921463867516E-4</c:v>
                </c:pt>
                <c:pt idx="361">
                  <c:v>2.4106851320912766E-4</c:v>
                </c:pt>
                <c:pt idx="362">
                  <c:v>2.4213354953537232E-4</c:v>
                </c:pt>
                <c:pt idx="363">
                  <c:v>2.430288439103175E-4</c:v>
                </c:pt>
                <c:pt idx="364">
                  <c:v>2.4386086921255484E-4</c:v>
                </c:pt>
                <c:pt idx="365">
                  <c:v>2.4375476745382553E-4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0FE-44AD-A276-CF3D87C94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638255"/>
        <c:axId val="1899221871"/>
      </c:scatterChart>
      <c:valAx>
        <c:axId val="205463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(24hr</a:t>
                </a:r>
                <a:r>
                  <a:rPr lang="en-US" baseline="0"/>
                  <a:t> </a:t>
                </a:r>
                <a:r>
                  <a:rPr lang="en-US"/>
                  <a:t>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21871"/>
        <c:crosses val="autoZero"/>
        <c:crossBetween val="midCat"/>
      </c:valAx>
      <c:valAx>
        <c:axId val="189922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Drift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63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horizons_error_log2!$W$1</c:f>
              <c:strCache>
                <c:ptCount val="1"/>
                <c:pt idx="0">
                  <c:v>Mercury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horizons_error_log2!$V$2:$V$367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horizons_error_log2!$W$2:$W$367</c:f>
              <c:numCache>
                <c:formatCode>General</c:formatCode>
                <c:ptCount val="366"/>
                <c:pt idx="0">
                  <c:v>0</c:v>
                </c:pt>
                <c:pt idx="1">
                  <c:v>6.5327170245587547E-6</c:v>
                </c:pt>
                <c:pt idx="2">
                  <c:v>2.6380817328556945E-5</c:v>
                </c:pt>
                <c:pt idx="3">
                  <c:v>6.0009221485866175E-5</c:v>
                </c:pt>
                <c:pt idx="4">
                  <c:v>1.0801167546143564E-4</c:v>
                </c:pt>
                <c:pt idx="5">
                  <c:v>1.7112134762040549E-4</c:v>
                </c:pt>
                <c:pt idx="6">
                  <c:v>2.5022036619423547E-4</c:v>
                </c:pt>
                <c:pt idx="7">
                  <c:v>3.4634751933391539E-4</c:v>
                </c:pt>
                <c:pt idx="8">
                  <c:v>4.6070315580276953E-4</c:v>
                </c:pt>
                <c:pt idx="9">
                  <c:v>5.9465011401713607E-4</c:v>
                </c:pt>
                <c:pt idx="10">
                  <c:v>7.4970927564516911E-4</c:v>
                </c:pt>
                <c:pt idx="11">
                  <c:v>9.2754811632130821E-4</c:v>
                </c:pt>
                <c:pt idx="12">
                  <c:v>1.1299604519220418E-3</c:v>
                </c:pt>
                <c:pt idx="13">
                  <c:v>1.3588354460419257E-3</c:v>
                </c:pt>
                <c:pt idx="14">
                  <c:v>1.6161139945167233E-3</c:v>
                </c:pt>
                <c:pt idx="15">
                  <c:v>1.9037308469703016E-3</c:v>
                </c:pt>
                <c:pt idx="16">
                  <c:v>2.2235414243983614E-3</c:v>
                </c:pt>
                <c:pt idx="17">
                  <c:v>2.5772333242006246E-3</c:v>
                </c:pt>
                <c:pt idx="18">
                  <c:v>2.9662240291196506E-3</c:v>
                </c:pt>
                <c:pt idx="19">
                  <c:v>3.3915484241569941E-3</c:v>
                </c:pt>
                <c:pt idx="20">
                  <c:v>3.8537421867227851E-3</c:v>
                </c:pt>
                <c:pt idx="21">
                  <c:v>4.3527297150060106E-3</c:v>
                </c:pt>
                <c:pt idx="22">
                  <c:v>4.8877275236304737E-3</c:v>
                </c:pt>
                <c:pt idx="23">
                  <c:v>5.4571751820722452E-3</c:v>
                </c:pt>
                <c:pt idx="24">
                  <c:v>6.0587055341246596E-3</c:v>
                </c:pt>
                <c:pt idx="25">
                  <c:v>6.6891632666071961E-3</c:v>
                </c:pt>
                <c:pt idx="26">
                  <c:v>7.3446761656953425E-3</c:v>
                </c:pt>
                <c:pt idx="27">
                  <c:v>8.0207770427840816E-3</c:v>
                </c:pt>
                <c:pt idx="28">
                  <c:v>8.7125674427146107E-3</c:v>
                </c:pt>
                <c:pt idx="29">
                  <c:v>9.414908428465504E-3</c:v>
                </c:pt>
                <c:pt idx="30">
                  <c:v>1.0122620293295055E-2</c:v>
                </c:pt>
                <c:pt idx="31">
                  <c:v>1.0830672578543124E-2</c:v>
                </c:pt>
                <c:pt idx="32">
                  <c:v>1.1534348572258064E-2</c:v>
                </c:pt>
                <c:pt idx="33">
                  <c:v>1.2229373259566113E-2</c:v>
                </c:pt>
                <c:pt idx="34">
                  <c:v>1.2911999608540241E-2</c:v>
                </c:pt>
                <c:pt idx="35">
                  <c:v>1.3579053587847265E-2</c:v>
                </c:pt>
                <c:pt idx="36">
                  <c:v>1.4227942619123295E-2</c:v>
                </c:pt>
                <c:pt idx="37">
                  <c:v>1.4856634766526117E-2</c:v>
                </c:pt>
                <c:pt idx="38">
                  <c:v>1.5463616941010809E-2</c:v>
                </c:pt>
                <c:pt idx="39">
                  <c:v>1.6047840113695432E-2</c:v>
                </c:pt>
                <c:pt idx="40">
                  <c:v>1.6608658337840684E-2</c:v>
                </c:pt>
                <c:pt idx="41">
                  <c:v>1.7145766902753906E-2</c:v>
                </c:pt>
                <c:pt idx="42">
                  <c:v>1.7659143352302089E-2</c:v>
                </c:pt>
                <c:pt idx="43">
                  <c:v>1.8148993714032252E-2</c:v>
                </c:pt>
                <c:pt idx="44">
                  <c:v>1.8615705164993127E-2</c:v>
                </c:pt>
                <c:pt idx="45">
                  <c:v>1.9059805536110939E-2</c:v>
                </c:pt>
                <c:pt idx="46">
                  <c:v>1.9481929494999932E-2</c:v>
                </c:pt>
                <c:pt idx="47">
                  <c:v>1.988279090995938E-2</c:v>
                </c:pt>
                <c:pt idx="48">
                  <c:v>2.0263160718420006E-2</c:v>
                </c:pt>
                <c:pt idx="49">
                  <c:v>2.0623849557369175E-2</c:v>
                </c:pt>
                <c:pt idx="50">
                  <c:v>2.0965694428923296E-2</c:v>
                </c:pt>
                <c:pt idx="51">
                  <c:v>2.1289548720454545E-2</c:v>
                </c:pt>
                <c:pt idx="52">
                  <c:v>2.1596274978575254E-2</c:v>
                </c:pt>
                <c:pt idx="53">
                  <c:v>2.1886739917073607E-2</c:v>
                </c:pt>
                <c:pt idx="54">
                  <c:v>2.2161811219128875E-2</c:v>
                </c:pt>
                <c:pt idx="55">
                  <c:v>2.2422355769868486E-2</c:v>
                </c:pt>
                <c:pt idx="56">
                  <c:v>2.2669239024850935E-2</c:v>
                </c:pt>
                <c:pt idx="57">
                  <c:v>2.2903325269530459E-2</c:v>
                </c:pt>
                <c:pt idx="58">
                  <c:v>2.3125478581559611E-2</c:v>
                </c:pt>
                <c:pt idx="59">
                  <c:v>2.3336564343210145E-2</c:v>
                </c:pt>
                <c:pt idx="60">
                  <c:v>2.3537451178723624E-2</c:v>
                </c:pt>
                <c:pt idx="61">
                  <c:v>2.3729013226043434E-2</c:v>
                </c:pt>
                <c:pt idx="62">
                  <c:v>2.3912132667249786E-2</c:v>
                </c:pt>
                <c:pt idx="63">
                  <c:v>2.4087702460840969E-2</c:v>
                </c:pt>
                <c:pt idx="64">
                  <c:v>2.4256629218663728E-2</c:v>
                </c:pt>
                <c:pt idx="65">
                  <c:v>2.4419836204689158E-2</c:v>
                </c:pt>
                <c:pt idx="66">
                  <c:v>2.4578266407168467E-2</c:v>
                </c:pt>
                <c:pt idx="67">
                  <c:v>2.4732885666475982E-2</c:v>
                </c:pt>
                <c:pt idx="68">
                  <c:v>2.4884685823835826E-2</c:v>
                </c:pt>
                <c:pt idx="69">
                  <c:v>2.5034687868893794E-2</c:v>
                </c:pt>
                <c:pt idx="70">
                  <c:v>2.5183945053502192E-2</c:v>
                </c:pt>
                <c:pt idx="71">
                  <c:v>2.5333545943037414E-2</c:v>
                </c:pt>
                <c:pt idx="72">
                  <c:v>2.5484617369741183E-2</c:v>
                </c:pt>
                <c:pt idx="73">
                  <c:v>2.5638327244626499E-2</c:v>
                </c:pt>
                <c:pt idx="74">
                  <c:v>2.5795887187638002E-2</c:v>
                </c:pt>
                <c:pt idx="75">
                  <c:v>2.5958554917656213E-2</c:v>
                </c:pt>
                <c:pt idx="76">
                  <c:v>2.612763634229608E-2</c:v>
                </c:pt>
                <c:pt idx="77">
                  <c:v>2.6304487277353565E-2</c:v>
                </c:pt>
                <c:pt idx="78">
                  <c:v>2.6490514712048149E-2</c:v>
                </c:pt>
                <c:pt idx="79">
                  <c:v>2.6687177529697279E-2</c:v>
                </c:pt>
                <c:pt idx="80">
                  <c:v>2.6895986572266613E-2</c:v>
                </c:pt>
                <c:pt idx="81">
                  <c:v>2.7118503931767748E-2</c:v>
                </c:pt>
                <c:pt idx="82">
                  <c:v>2.7356341319932566E-2</c:v>
                </c:pt>
                <c:pt idx="83">
                  <c:v>2.7611157361071382E-2</c:v>
                </c:pt>
                <c:pt idx="84">
                  <c:v>2.7884653616030521E-2</c:v>
                </c:pt>
                <c:pt idx="85">
                  <c:v>2.8178569120677361E-2</c:v>
                </c:pt>
                <c:pt idx="86">
                  <c:v>2.8494673182879921E-2</c:v>
                </c:pt>
                <c:pt idx="87">
                  <c:v>2.883475614295105E-2</c:v>
                </c:pt>
                <c:pt idx="88">
                  <c:v>2.9200617739848032E-2</c:v>
                </c:pt>
                <c:pt idx="89">
                  <c:v>2.9594052672261253E-2</c:v>
                </c:pt>
                <c:pt idx="90">
                  <c:v>3.001683286248687E-2</c:v>
                </c:pt>
                <c:pt idx="91">
                  <c:v>3.0470685857419098E-2</c:v>
                </c:pt>
                <c:pt idx="92">
                  <c:v>3.0957268696578815E-2</c:v>
                </c:pt>
                <c:pt idx="93">
                  <c:v>3.1478136508128141E-2</c:v>
                </c:pt>
                <c:pt idx="94">
                  <c:v>3.2034704990321648E-2</c:v>
                </c:pt>
                <c:pt idx="95">
                  <c:v>3.2628205900039037E-2</c:v>
                </c:pt>
                <c:pt idx="96">
                  <c:v>3.3259634667218874E-2</c:v>
                </c:pt>
                <c:pt idx="97">
                  <c:v>3.3929689336466062E-2</c:v>
                </c:pt>
                <c:pt idx="98">
                  <c:v>3.4638700271537884E-2</c:v>
                </c:pt>
                <c:pt idx="99">
                  <c:v>3.5386550488625997E-2</c:v>
                </c:pt>
                <c:pt idx="100">
                  <c:v>3.6172587180479901E-2</c:v>
                </c:pt>
                <c:pt idx="101">
                  <c:v>3.6995526055460207E-2</c:v>
                </c:pt>
                <c:pt idx="102">
                  <c:v>3.7853351570619843E-2</c:v>
                </c:pt>
                <c:pt idx="103">
                  <c:v>3.874321805218274E-2</c:v>
                </c:pt>
                <c:pt idx="104">
                  <c:v>3.9661358978526365E-2</c:v>
                </c:pt>
                <c:pt idx="105">
                  <c:v>4.0603014214730754E-2</c:v>
                </c:pt>
                <c:pt idx="106">
                  <c:v>4.1562387344162725E-2</c:v>
                </c:pt>
                <c:pt idx="107">
                  <c:v>4.2532646937361474E-2</c:v>
                </c:pt>
                <c:pt idx="108">
                  <c:v>4.3505985844114706E-2</c:v>
                </c:pt>
                <c:pt idx="109">
                  <c:v>4.4473750628385079E-2</c:v>
                </c:pt>
                <c:pt idx="110">
                  <c:v>4.5426648441661999E-2</c:v>
                </c:pt>
                <c:pt idx="111">
                  <c:v>4.6355030606609532E-2</c:v>
                </c:pt>
                <c:pt idx="112">
                  <c:v>4.7249241786192463E-2</c:v>
                </c:pt>
                <c:pt idx="113">
                  <c:v>4.8100012083985899E-2</c:v>
                </c:pt>
                <c:pt idx="114">
                  <c:v>4.889885938065712E-2</c:v>
                </c:pt>
                <c:pt idx="115">
                  <c:v>4.9638463234815841E-2</c:v>
                </c:pt>
                <c:pt idx="116">
                  <c:v>5.031297186656597E-2</c:v>
                </c:pt>
                <c:pt idx="117">
                  <c:v>5.0918210895827799E-2</c:v>
                </c:pt>
                <c:pt idx="118">
                  <c:v>5.1451775499449175E-2</c:v>
                </c:pt>
                <c:pt idx="119">
                  <c:v>5.1913003425829253E-2</c:v>
                </c:pt>
                <c:pt idx="120">
                  <c:v>5.2302841842829281E-2</c:v>
                </c:pt>
                <c:pt idx="121">
                  <c:v>5.2623632506254743E-2</c:v>
                </c:pt>
                <c:pt idx="122">
                  <c:v>5.2878845926184553E-2</c:v>
                </c:pt>
                <c:pt idx="123">
                  <c:v>5.3072795557545703E-2</c:v>
                </c:pt>
                <c:pt idx="124">
                  <c:v>5.3210358834215446E-2</c:v>
                </c:pt>
                <c:pt idx="125">
                  <c:v>5.3296724956735278E-2</c:v>
                </c:pt>
                <c:pt idx="126">
                  <c:v>5.3337181642665883E-2</c:v>
                </c:pt>
                <c:pt idx="127">
                  <c:v>5.3336946050547895E-2</c:v>
                </c:pt>
                <c:pt idx="128">
                  <c:v>5.3301039579423677E-2</c:v>
                </c:pt>
                <c:pt idx="129">
                  <c:v>5.323420257480637E-2</c:v>
                </c:pt>
                <c:pt idx="130">
                  <c:v>5.314084294079785E-2</c:v>
                </c:pt>
                <c:pt idx="131">
                  <c:v>5.3025011934731893E-2</c:v>
                </c:pt>
                <c:pt idx="132">
                  <c:v>5.2890400612107216E-2</c:v>
                </c:pt>
                <c:pt idx="133">
                  <c:v>5.2740351098886945E-2</c:v>
                </c:pt>
                <c:pt idx="134">
                  <c:v>5.2577877827079622E-2</c:v>
                </c:pt>
                <c:pt idx="135">
                  <c:v>5.2405694876335167E-2</c:v>
                </c:pt>
                <c:pt idx="136">
                  <c:v>5.2226246495656124E-2</c:v>
                </c:pt>
                <c:pt idx="137">
                  <c:v>5.2041738685107225E-2</c:v>
                </c:pt>
                <c:pt idx="138">
                  <c:v>5.1854170369407648E-2</c:v>
                </c:pt>
                <c:pt idx="139">
                  <c:v>5.1665363211344975E-2</c:v>
                </c:pt>
                <c:pt idx="140">
                  <c:v>5.1476989487373566E-2</c:v>
                </c:pt>
                <c:pt idx="141">
                  <c:v>5.1290597735929054E-2</c:v>
                </c:pt>
                <c:pt idx="142">
                  <c:v>5.1107636064469247E-2</c:v>
                </c:pt>
                <c:pt idx="143">
                  <c:v>5.092947315108972E-2</c:v>
                </c:pt>
                <c:pt idx="144">
                  <c:v>5.0757417038634976E-2</c:v>
                </c:pt>
                <c:pt idx="145">
                  <c:v>5.0592731873004324E-2</c:v>
                </c:pt>
                <c:pt idx="146">
                  <c:v>5.043665275475704E-2</c:v>
                </c:pt>
                <c:pt idx="147">
                  <c:v>5.0290398883657023E-2</c:v>
                </c:pt>
                <c:pt idx="148">
                  <c:v>5.015518516058308E-2</c:v>
                </c:pt>
                <c:pt idx="149">
                  <c:v>5.0032232410907637E-2</c:v>
                </c:pt>
                <c:pt idx="150">
                  <c:v>4.992277635942427E-2</c:v>
                </c:pt>
                <c:pt idx="151">
                  <c:v>4.9828075486333237E-2</c:v>
                </c:pt>
                <c:pt idx="152">
                  <c:v>4.974941786562391E-2</c:v>
                </c:pt>
                <c:pt idx="153">
                  <c:v>4.9688127065088128E-2</c:v>
                </c:pt>
                <c:pt idx="154">
                  <c:v>4.9645567186197483E-2</c:v>
                </c:pt>
                <c:pt idx="155">
                  <c:v>4.9623147082270891E-2</c:v>
                </c:pt>
                <c:pt idx="156">
                  <c:v>4.9622323805396822E-2</c:v>
                </c:pt>
                <c:pt idx="157">
                  <c:v>4.9644605292727725E-2</c:v>
                </c:pt>
                <c:pt idx="158">
                  <c:v>4.9691552320226894E-2</c:v>
                </c:pt>
                <c:pt idx="159">
                  <c:v>4.9764779714210845E-2</c:v>
                </c:pt>
                <c:pt idx="160">
                  <c:v>4.9865956821415924E-2</c:v>
                </c:pt>
                <c:pt idx="161">
                  <c:v>4.9996807225147676E-2</c:v>
                </c:pt>
                <c:pt idx="162">
                  <c:v>5.0159107680991855E-2</c:v>
                </c:pt>
                <c:pt idx="163">
                  <c:v>5.0354686248063052E-2</c:v>
                </c:pt>
                <c:pt idx="164">
                  <c:v>5.0585419574694625E-2</c:v>
                </c:pt>
                <c:pt idx="165">
                  <c:v>5.0853229290415441E-2</c:v>
                </c:pt>
                <c:pt idx="166">
                  <c:v>5.1160077442162902E-2</c:v>
                </c:pt>
                <c:pt idx="167">
                  <c:v>5.1507960894245461E-2</c:v>
                </c:pt>
                <c:pt idx="168">
                  <c:v>5.1898904587370107E-2</c:v>
                </c:pt>
                <c:pt idx="169">
                  <c:v>5.233495352277201E-2</c:v>
                </c:pt>
                <c:pt idx="170">
                  <c:v>5.2818163297058476E-2</c:v>
                </c:pt>
                <c:pt idx="171">
                  <c:v>5.3350588959932083E-2</c:v>
                </c:pt>
                <c:pt idx="172">
                  <c:v>5.3934271903270388E-2</c:v>
                </c:pt>
                <c:pt idx="173">
                  <c:v>5.4571224415372432E-2</c:v>
                </c:pt>
                <c:pt idx="174">
                  <c:v>5.5263411426000247E-2</c:v>
                </c:pt>
                <c:pt idx="175">
                  <c:v>5.6012728863144783E-2</c:v>
                </c:pt>
                <c:pt idx="176">
                  <c:v>5.6820977903670425E-2</c:v>
                </c:pt>
                <c:pt idx="177">
                  <c:v>5.7689834257079339E-2</c:v>
                </c:pt>
                <c:pt idx="178">
                  <c:v>5.8620811448894042E-2</c:v>
                </c:pt>
                <c:pt idx="179">
                  <c:v>5.9615216912244542E-2</c:v>
                </c:pt>
                <c:pt idx="180">
                  <c:v>6.0674099524985328E-2</c:v>
                </c:pt>
                <c:pt idx="181">
                  <c:v>6.1798187117455501E-2</c:v>
                </c:pt>
                <c:pt idx="182">
                  <c:v>6.2987812367013493E-2</c:v>
                </c:pt>
                <c:pt idx="183">
                  <c:v>6.4242825541378556E-2</c:v>
                </c:pt>
                <c:pt idx="184">
                  <c:v>6.5562492716958395E-2</c:v>
                </c:pt>
                <c:pt idx="185">
                  <c:v>6.6945378512402745E-2</c:v>
                </c:pt>
                <c:pt idx="186">
                  <c:v>6.8389213122861142E-2</c:v>
                </c:pt>
                <c:pt idx="187">
                  <c:v>6.9890744620486681E-2</c:v>
                </c:pt>
                <c:pt idx="188">
                  <c:v>7.1445579262774811E-2</c:v>
                </c:pt>
                <c:pt idx="189">
                  <c:v>7.3048014985325205E-2</c:v>
                </c:pt>
                <c:pt idx="190">
                  <c:v>7.4690876453931243E-2</c:v>
                </c:pt>
                <c:pt idx="191">
                  <c:v>7.6365363956729049E-2</c:v>
                </c:pt>
                <c:pt idx="192">
                  <c:v>7.8060932796061508E-2</c:v>
                </c:pt>
                <c:pt idx="193">
                  <c:v>7.9765224231441292E-2</c:v>
                </c:pt>
                <c:pt idx="194">
                  <c:v>8.1464072553027372E-2</c:v>
                </c:pt>
                <c:pt idx="195">
                  <c:v>8.3141614388665713E-2</c:v>
                </c:pt>
                <c:pt idx="196">
                  <c:v>8.4780524350685532E-2</c:v>
                </c:pt>
                <c:pt idx="197">
                  <c:v>8.636239427090743E-2</c:v>
                </c:pt>
                <c:pt idx="198">
                  <c:v>8.7868260598501419E-2</c:v>
                </c:pt>
                <c:pt idx="199">
                  <c:v>8.9279266261400439E-2</c:v>
                </c:pt>
                <c:pt idx="200">
                  <c:v>9.0577421488395052E-2</c:v>
                </c:pt>
                <c:pt idx="201">
                  <c:v>9.1746406328297003E-2</c:v>
                </c:pt>
                <c:pt idx="202">
                  <c:v>9.2772341198472594E-2</c:v>
                </c:pt>
                <c:pt idx="203">
                  <c:v>9.3644445738453444E-2</c:v>
                </c:pt>
                <c:pt idx="204">
                  <c:v>9.4355513789984663E-2</c:v>
                </c:pt>
                <c:pt idx="205">
                  <c:v>9.4902153553363996E-2</c:v>
                </c:pt>
                <c:pt idx="206">
                  <c:v>9.5284772977704879E-2</c:v>
                </c:pt>
                <c:pt idx="207">
                  <c:v>9.5507324295171961E-2</c:v>
                </c:pt>
                <c:pt idx="208">
                  <c:v>9.5576851396649287E-2</c:v>
                </c:pt>
                <c:pt idx="209">
                  <c:v>9.5502903052290353E-2</c:v>
                </c:pt>
                <c:pt idx="210">
                  <c:v>9.5296881834899261E-2</c:v>
                </c:pt>
                <c:pt idx="211">
                  <c:v>9.497139361556052E-2</c:v>
                </c:pt>
                <c:pt idx="212">
                  <c:v>9.4539649193819186E-2</c:v>
                </c:pt>
                <c:pt idx="213">
                  <c:v>9.4014952404202073E-2</c:v>
                </c:pt>
                <c:pt idx="214">
                  <c:v>9.3410291865677467E-2</c:v>
                </c:pt>
                <c:pt idx="215">
                  <c:v>9.2738039132517366E-2</c:v>
                </c:pt>
                <c:pt idx="216">
                  <c:v>9.2009745660291173E-2</c:v>
                </c:pt>
                <c:pt idx="217">
                  <c:v>9.1236024821435446E-2</c:v>
                </c:pt>
                <c:pt idx="218">
                  <c:v>9.0426502554055432E-2</c:v>
                </c:pt>
                <c:pt idx="219">
                  <c:v>8.9589820126916381E-2</c:v>
                </c:pt>
                <c:pt idx="220">
                  <c:v>8.8733674039874283E-2</c:v>
                </c:pt>
                <c:pt idx="221">
                  <c:v>8.7864880404616624E-2</c:v>
                </c:pt>
                <c:pt idx="222">
                  <c:v>8.6989453732946601E-2</c:v>
                </c:pt>
                <c:pt idx="223">
                  <c:v>8.6112692501014929E-2</c:v>
                </c:pt>
                <c:pt idx="224">
                  <c:v>8.5239266007848147E-2</c:v>
                </c:pt>
                <c:pt idx="225">
                  <c:v>8.4373298787055392E-2</c:v>
                </c:pt>
                <c:pt idx="226">
                  <c:v>8.3518450201388011E-2</c:v>
                </c:pt>
                <c:pt idx="227">
                  <c:v>8.267798786461969E-2</c:v>
                </c:pt>
                <c:pt idx="228">
                  <c:v>8.185485426024558E-2</c:v>
                </c:pt>
                <c:pt idx="229">
                  <c:v>8.1051726431490528E-2</c:v>
                </c:pt>
                <c:pt idx="230">
                  <c:v>8.0271068929920961E-2</c:v>
                </c:pt>
                <c:pt idx="231">
                  <c:v>7.9515180409870587E-2</c:v>
                </c:pt>
                <c:pt idx="232">
                  <c:v>7.8786234353297693E-2</c:v>
                </c:pt>
                <c:pt idx="233">
                  <c:v>7.8086314445952348E-2</c:v>
                </c:pt>
                <c:pt idx="234">
                  <c:v>7.7417445125527493E-2</c:v>
                </c:pt>
                <c:pt idx="235">
                  <c:v>7.6781617786037537E-2</c:v>
                </c:pt>
                <c:pt idx="236">
                  <c:v>7.6180813084004026E-2</c:v>
                </c:pt>
                <c:pt idx="237">
                  <c:v>7.5617019730542093E-2</c:v>
                </c:pt>
                <c:pt idx="238">
                  <c:v>7.5092250111908412E-2</c:v>
                </c:pt>
                <c:pt idx="239">
                  <c:v>7.4608553019605436E-2</c:v>
                </c:pt>
                <c:pt idx="240">
                  <c:v>7.4168023727636312E-2</c:v>
                </c:pt>
                <c:pt idx="241">
                  <c:v>7.3772811619415776E-2</c:v>
                </c:pt>
                <c:pt idx="242">
                  <c:v>7.342512552142802E-2</c:v>
                </c:pt>
                <c:pt idx="243">
                  <c:v>7.3127236890503169E-2</c:v>
                </c:pt>
                <c:pt idx="244">
                  <c:v>7.2881480965215253E-2</c:v>
                </c:pt>
                <c:pt idx="245">
                  <c:v>7.2690255995464567E-2</c:v>
                </c:pt>
                <c:pt idx="246">
                  <c:v>7.2556020650992661E-2</c:v>
                </c:pt>
                <c:pt idx="247">
                  <c:v>7.2481289715322181E-2</c:v>
                </c:pt>
                <c:pt idx="248">
                  <c:v>7.2468628169273949E-2</c:v>
                </c:pt>
                <c:pt idx="249">
                  <c:v>7.252064378492068E-2</c:v>
                </c:pt>
                <c:pt idx="250">
                  <c:v>7.263997834870714E-2</c:v>
                </c:pt>
                <c:pt idx="251">
                  <c:v>7.2829297645005439E-2</c:v>
                </c:pt>
                <c:pt idx="252">
                  <c:v>7.3091280322657839E-2</c:v>
                </c:pt>
                <c:pt idx="253">
                  <c:v>7.3428605762591539E-2</c:v>
                </c:pt>
                <c:pt idx="254">
                  <c:v>7.3843941038779393E-2</c:v>
                </c:pt>
                <c:pt idx="255">
                  <c:v>7.433992702691225E-2</c:v>
                </c:pt>
                <c:pt idx="256">
                  <c:v>7.4919163659509944E-2</c:v>
                </c:pt>
                <c:pt idx="257">
                  <c:v>7.558419424707194E-2</c:v>
                </c:pt>
                <c:pt idx="258">
                  <c:v>7.6337488678645204E-2</c:v>
                </c:pt>
                <c:pt idx="259">
                  <c:v>7.7181425196170148E-2</c:v>
                </c:pt>
                <c:pt idx="260">
                  <c:v>7.8118270280275043E-2</c:v>
                </c:pt>
                <c:pt idx="261">
                  <c:v>7.9150155998220062E-2</c:v>
                </c:pt>
                <c:pt idx="262">
                  <c:v>8.0279053980634327E-2</c:v>
                </c:pt>
                <c:pt idx="263">
                  <c:v>8.1506744952630439E-2</c:v>
                </c:pt>
                <c:pt idx="264">
                  <c:v>8.2834782505234794E-2</c:v>
                </c:pt>
                <c:pt idx="265">
                  <c:v>8.4264449540975603E-2</c:v>
                </c:pt>
                <c:pt idx="266">
                  <c:v>8.5796705562187534E-2</c:v>
                </c:pt>
                <c:pt idx="267">
                  <c:v>8.7432122725235595E-2</c:v>
                </c:pt>
                <c:pt idx="268">
                  <c:v>8.917080836068586E-2</c:v>
                </c:pt>
                <c:pt idx="269">
                  <c:v>9.1012311510278915E-2</c:v>
                </c:pt>
                <c:pt idx="270">
                  <c:v>9.2955510992379323E-2</c:v>
                </c:pt>
                <c:pt idx="271">
                  <c:v>9.4998482636617365E-2</c:v>
                </c:pt>
                <c:pt idx="272">
                  <c:v>9.7138343746080838E-2</c:v>
                </c:pt>
                <c:pt idx="273">
                  <c:v>9.9371073639574092E-2</c:v>
                </c:pt>
                <c:pt idx="274">
                  <c:v>0.10169131046448962</c:v>
                </c:pt>
                <c:pt idx="275">
                  <c:v>0.10409212653820213</c:v>
                </c:pt>
                <c:pt idx="276">
                  <c:v>0.1065647874250753</c:v>
                </c:pt>
                <c:pt idx="277">
                  <c:v>0.10909850397095872</c:v>
                </c:pt>
                <c:pt idx="278">
                  <c:v>0.11168019164495277</c:v>
                </c:pt>
                <c:pt idx="279">
                  <c:v>0.11429425769031905</c:v>
                </c:pt>
                <c:pt idx="280">
                  <c:v>0.11692244330813485</c:v>
                </c:pt>
                <c:pt idx="281">
                  <c:v>0.1195437546039162</c:v>
                </c:pt>
                <c:pt idx="282">
                  <c:v>0.12213452089962294</c:v>
                </c:pt>
                <c:pt idx="283">
                  <c:v>0.12466862034015323</c:v>
                </c:pt>
                <c:pt idx="284">
                  <c:v>0.12711790830976297</c:v>
                </c:pt>
                <c:pt idx="285">
                  <c:v>0.12945287180705309</c:v>
                </c:pt>
                <c:pt idx="286">
                  <c:v>0.13164351159813181</c:v>
                </c:pt>
                <c:pt idx="287">
                  <c:v>0.13366042419754126</c:v>
                </c:pt>
                <c:pt idx="288">
                  <c:v>0.13547602124099872</c:v>
                </c:pt>
                <c:pt idx="289">
                  <c:v>0.13706579061657803</c:v>
                </c:pt>
                <c:pt idx="290">
                  <c:v>0.1384094801746886</c:v>
                </c:pt>
                <c:pt idx="291">
                  <c:v>0.13949207860535329</c:v>
                </c:pt>
                <c:pt idx="292">
                  <c:v>0.14030448373848298</c:v>
                </c:pt>
                <c:pt idx="293">
                  <c:v>0.14084378521743149</c:v>
                </c:pt>
                <c:pt idx="294">
                  <c:v>0.14111313942864279</c:v>
                </c:pt>
                <c:pt idx="295">
                  <c:v>0.1411212683788661</c:v>
                </c:pt>
                <c:pt idx="296">
                  <c:v>0.14088165976277875</c:v>
                </c:pt>
                <c:pt idx="297">
                  <c:v>0.14041157345905395</c:v>
                </c:pt>
                <c:pt idx="298">
                  <c:v>0.13973096738885987</c:v>
                </c:pt>
                <c:pt idx="299">
                  <c:v>0.13886144493636449</c:v>
                </c:pt>
                <c:pt idx="300">
                  <c:v>0.13782530291892278</c:v>
                </c:pt>
                <c:pt idx="301">
                  <c:v>0.13664473064300392</c:v>
                </c:pt>
                <c:pt idx="302">
                  <c:v>0.13534118299126405</c:v>
                </c:pt>
                <c:pt idx="303">
                  <c:v>0.13393492799008902</c:v>
                </c:pt>
                <c:pt idx="304">
                  <c:v>0.13244475356529348</c:v>
                </c:pt>
                <c:pt idx="305">
                  <c:v>0.13088780923262602</c:v>
                </c:pt>
                <c:pt idx="306">
                  <c:v>0.12927955505019256</c:v>
                </c:pt>
                <c:pt idx="307">
                  <c:v>0.12763379069130326</c:v>
                </c:pt>
                <c:pt idx="308">
                  <c:v>0.12596274043834185</c:v>
                </c:pt>
                <c:pt idx="309">
                  <c:v>0.12427717394572071</c:v>
                </c:pt>
                <c:pt idx="310">
                  <c:v>0.12258654694712103</c:v>
                </c:pt>
                <c:pt idx="311">
                  <c:v>0.12089915008886196</c:v>
                </c:pt>
                <c:pt idx="312">
                  <c:v>0.11922225752505441</c:v>
                </c:pt>
                <c:pt idx="313">
                  <c:v>0.11756226969225946</c:v>
                </c:pt>
                <c:pt idx="314">
                  <c:v>0.11592484682614275</c:v>
                </c:pt>
                <c:pt idx="315">
                  <c:v>0.11431503135675598</c:v>
                </c:pt>
                <c:pt idx="316">
                  <c:v>0.11273735843047093</c:v>
                </c:pt>
                <c:pt idx="317">
                  <c:v>0.11119595454896623</c:v>
                </c:pt>
                <c:pt idx="318">
                  <c:v>0.10969462478022531</c:v>
                </c:pt>
                <c:pt idx="319">
                  <c:v>0.10823692926030413</c:v>
                </c:pt>
                <c:pt idx="320">
                  <c:v>0.10682624982757898</c:v>
                </c:pt>
                <c:pt idx="321">
                  <c:v>0.10546584764633753</c:v>
                </c:pt>
                <c:pt idx="322">
                  <c:v>0.10415891265294255</c:v>
                </c:pt>
                <c:pt idx="323">
                  <c:v>0.10290860556129525</c:v>
                </c:pt>
                <c:pt idx="324">
                  <c:v>0.10171809309193129</c:v>
                </c:pt>
                <c:pt idx="325">
                  <c:v>0.10059057696158111</c:v>
                </c:pt>
                <c:pt idx="326">
                  <c:v>9.9529317090691266E-2</c:v>
                </c:pt>
                <c:pt idx="327">
                  <c:v>9.8537649382020961E-2</c:v>
                </c:pt>
                <c:pt idx="328">
                  <c:v>9.7618998351618622E-2</c:v>
                </c:pt>
                <c:pt idx="329">
                  <c:v>9.6776884835261978E-2</c:v>
                </c:pt>
                <c:pt idx="330">
                  <c:v>9.601492895023353E-2</c:v>
                </c:pt>
                <c:pt idx="331">
                  <c:v>9.5336848479407113E-2</c:v>
                </c:pt>
                <c:pt idx="332">
                  <c:v>9.474645285173848E-2</c:v>
                </c:pt>
                <c:pt idx="333">
                  <c:v>9.4247632916155913E-2</c:v>
                </c:pt>
                <c:pt idx="334">
                  <c:v>9.3844346768128445E-2</c:v>
                </c:pt>
                <c:pt idx="335">
                  <c:v>9.3540601940652751E-2</c:v>
                </c:pt>
                <c:pt idx="336">
                  <c:v>9.3340434366310149E-2</c:v>
                </c:pt>
                <c:pt idx="337">
                  <c:v>9.3247884591025523E-2</c:v>
                </c:pt>
                <c:pt idx="338">
                  <c:v>9.3266971808712115E-2</c:v>
                </c:pt>
                <c:pt idx="339">
                  <c:v>9.3401666340810111E-2</c:v>
                </c:pt>
                <c:pt idx="340">
                  <c:v>9.3655861234875598E-2</c:v>
                </c:pt>
                <c:pt idx="341">
                  <c:v>9.4033343647216869E-2</c:v>
                </c:pt>
                <c:pt idx="342">
                  <c:v>9.4537766632697529E-2</c:v>
                </c:pt>
                <c:pt idx="343">
                  <c:v>9.5172621863017309E-2</c:v>
                </c:pt>
                <c:pt idx="344">
                  <c:v>9.5941213632086769E-2</c:v>
                </c:pt>
                <c:pt idx="345">
                  <c:v>9.6846634288791297E-2</c:v>
                </c:pt>
                <c:pt idx="346">
                  <c:v>9.7891740968151245E-2</c:v>
                </c:pt>
                <c:pt idx="347">
                  <c:v>9.9079133157980781E-2</c:v>
                </c:pt>
                <c:pt idx="348">
                  <c:v>0.10041113029803524</c:v>
                </c:pt>
                <c:pt idx="349">
                  <c:v>0.10188974820861607</c:v>
                </c:pt>
                <c:pt idx="350">
                  <c:v>0.10351667275658188</c:v>
                </c:pt>
                <c:pt idx="351">
                  <c:v>0.10529322877029443</c:v>
                </c:pt>
                <c:pt idx="352">
                  <c:v>0.10722034182138174</c:v>
                </c:pt>
                <c:pt idx="353">
                  <c:v>0.10929849012356861</c:v>
                </c:pt>
                <c:pt idx="354">
                  <c:v>0.11152764346029499</c:v>
                </c:pt>
                <c:pt idx="355">
                  <c:v>0.11390718576514132</c:v>
                </c:pt>
                <c:pt idx="356">
                  <c:v>0.11643581776032107</c:v>
                </c:pt>
                <c:pt idx="357">
                  <c:v>0.11911143595407529</c:v>
                </c:pt>
                <c:pt idx="358">
                  <c:v>0.12193098437286443</c:v>
                </c:pt>
                <c:pt idx="359">
                  <c:v>0.12489027571778852</c:v>
                </c:pt>
                <c:pt idx="360">
                  <c:v>0.12798377938179503</c:v>
                </c:pt>
                <c:pt idx="361">
                  <c:v>0.13120437500267101</c:v>
                </c:pt>
                <c:pt idx="362">
                  <c:v>0.13454307228582693</c:v>
                </c:pt>
                <c:pt idx="363">
                  <c:v>0.13798870084460854</c:v>
                </c:pt>
                <c:pt idx="364">
                  <c:v>0.14152757810605007</c:v>
                </c:pt>
                <c:pt idx="365">
                  <c:v>0.14514316905890973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3D-4C28-B815-4FC73864F8EF}"/>
            </c:ext>
          </c:extLst>
        </c:ser>
        <c:ser>
          <c:idx val="1"/>
          <c:order val="1"/>
          <c:tx>
            <c:strRef>
              <c:f>horizons_error_log2!$X$1</c:f>
              <c:strCache>
                <c:ptCount val="1"/>
                <c:pt idx="0">
                  <c:v>Venus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horizons_error_log2!$V$2:$V$367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horizons_error_log2!$X$2:$X$367</c:f>
              <c:numCache>
                <c:formatCode>General</c:formatCode>
                <c:ptCount val="366"/>
                <c:pt idx="0">
                  <c:v>0</c:v>
                </c:pt>
                <c:pt idx="1">
                  <c:v>1.2572911247043107E-6</c:v>
                </c:pt>
                <c:pt idx="2">
                  <c:v>5.0309774436543747E-6</c:v>
                </c:pt>
                <c:pt idx="3">
                  <c:v>1.1326007803981202E-5</c:v>
                </c:pt>
                <c:pt idx="4">
                  <c:v>2.0150294293268911E-5</c:v>
                </c:pt>
                <c:pt idx="5">
                  <c:v>3.1514677865663812E-5</c:v>
                </c:pt>
                <c:pt idx="6">
                  <c:v>4.5432883830024001E-5</c:v>
                </c:pt>
                <c:pt idx="7">
                  <c:v>6.1921464028375992E-5</c:v>
                </c:pt>
                <c:pt idx="8">
                  <c:v>8.0999726162774146E-5</c:v>
                </c:pt>
                <c:pt idx="9">
                  <c:v>1.0268964757555974E-4</c:v>
                </c:pt>
                <c:pt idx="10">
                  <c:v>1.2701578045472389E-4</c:v>
                </c:pt>
                <c:pt idx="11">
                  <c:v>1.5400514558043302E-4</c:v>
                </c:pt>
                <c:pt idx="12">
                  <c:v>1.8368711165085409E-4</c:v>
                </c:pt>
                <c:pt idx="13">
                  <c:v>2.1609326942496448E-4</c:v>
                </c:pt>
                <c:pt idx="14">
                  <c:v>2.5125729140376555E-4</c:v>
                </c:pt>
                <c:pt idx="15">
                  <c:v>2.892147893767881E-4</c:v>
                </c:pt>
                <c:pt idx="16">
                  <c:v>3.3000315741010697E-4</c:v>
                </c:pt>
                <c:pt idx="17">
                  <c:v>3.7366142228211326E-4</c:v>
                </c:pt>
                <c:pt idx="18">
                  <c:v>4.2023005126024681E-4</c:v>
                </c:pt>
                <c:pt idx="19">
                  <c:v>4.6975081560133984E-4</c:v>
                </c:pt>
                <c:pt idx="20">
                  <c:v>5.2226660295753261E-4</c:v>
                </c:pt>
                <c:pt idx="21">
                  <c:v>5.7782122752364723E-4</c:v>
                </c:pt>
                <c:pt idx="22">
                  <c:v>6.3645926281892529E-4</c:v>
                </c:pt>
                <c:pt idx="23">
                  <c:v>6.9822586143802759E-4</c:v>
                </c:pt>
                <c:pt idx="24">
                  <c:v>7.63166571222589E-4</c:v>
                </c:pt>
                <c:pt idx="25">
                  <c:v>8.3132714942737377E-4</c:v>
                </c:pt>
                <c:pt idx="26">
                  <c:v>9.0275338306658882E-4</c:v>
                </c:pt>
                <c:pt idx="27">
                  <c:v>9.7749091357478865E-4</c:v>
                </c:pt>
                <c:pt idx="28">
                  <c:v>1.0555850589502481E-3</c:v>
                </c:pt>
                <c:pt idx="29">
                  <c:v>1.1370806386381204E-3</c:v>
                </c:pt>
                <c:pt idx="30">
                  <c:v>1.2220217982280551E-3</c:v>
                </c:pt>
                <c:pt idx="31">
                  <c:v>1.3104518416068576E-3</c:v>
                </c:pt>
                <c:pt idx="32">
                  <c:v>1.4024130752254514E-3</c:v>
                </c:pt>
                <c:pt idx="33">
                  <c:v>1.4979466458912656E-3</c:v>
                </c:pt>
                <c:pt idx="34">
                  <c:v>1.5970923766977963E-3</c:v>
                </c:pt>
                <c:pt idx="35">
                  <c:v>1.6998886286464967E-3</c:v>
                </c:pt>
                <c:pt idx="36">
                  <c:v>1.8063721520428842E-3</c:v>
                </c:pt>
                <c:pt idx="37">
                  <c:v>1.916577947777189E-3</c:v>
                </c:pt>
                <c:pt idx="38">
                  <c:v>2.030539137630676E-3</c:v>
                </c:pt>
                <c:pt idx="39">
                  <c:v>2.1482868332277677E-3</c:v>
                </c:pt>
                <c:pt idx="40">
                  <c:v>2.2698500180670165E-3</c:v>
                </c:pt>
                <c:pt idx="41">
                  <c:v>2.3952554331040914E-3</c:v>
                </c:pt>
                <c:pt idx="42">
                  <c:v>2.5245274659296164E-3</c:v>
                </c:pt>
                <c:pt idx="43">
                  <c:v>2.6576880527363336E-3</c:v>
                </c:pt>
                <c:pt idx="44">
                  <c:v>2.7947565778303415E-3</c:v>
                </c:pt>
                <c:pt idx="45">
                  <c:v>2.9357497887810926E-3</c:v>
                </c:pt>
                <c:pt idx="46">
                  <c:v>3.0806817115744713E-3</c:v>
                </c:pt>
                <c:pt idx="47">
                  <c:v>3.229563572527034E-3</c:v>
                </c:pt>
                <c:pt idx="48">
                  <c:v>3.3824037298149324E-3</c:v>
                </c:pt>
                <c:pt idx="49">
                  <c:v>3.5392076101263396E-3</c:v>
                </c:pt>
                <c:pt idx="50">
                  <c:v>3.6999776468211042E-3</c:v>
                </c:pt>
                <c:pt idx="51">
                  <c:v>3.8647132323616968E-3</c:v>
                </c:pt>
                <c:pt idx="52">
                  <c:v>4.0334106726858526E-3</c:v>
                </c:pt>
                <c:pt idx="53">
                  <c:v>4.2060631434180954E-3</c:v>
                </c:pt>
                <c:pt idx="54">
                  <c:v>4.382660659863629E-3</c:v>
                </c:pt>
                <c:pt idx="55">
                  <c:v>4.5631900479859155E-3</c:v>
                </c:pt>
                <c:pt idx="56">
                  <c:v>4.7476349222685581E-3</c:v>
                </c:pt>
                <c:pt idx="57">
                  <c:v>4.9359756695783316E-3</c:v>
                </c:pt>
                <c:pt idx="58">
                  <c:v>5.128189437462195E-3</c:v>
                </c:pt>
                <c:pt idx="59">
                  <c:v>5.3242501307986263E-3</c:v>
                </c:pt>
                <c:pt idx="60">
                  <c:v>5.5241284076222256E-3</c:v>
                </c:pt>
                <c:pt idx="61">
                  <c:v>5.7277916896144171E-3</c:v>
                </c:pt>
                <c:pt idx="62">
                  <c:v>5.935204168417735E-3</c:v>
                </c:pt>
                <c:pt idx="63">
                  <c:v>6.1463268231970085E-3</c:v>
                </c:pt>
                <c:pt idx="64">
                  <c:v>6.361117438204277E-3</c:v>
                </c:pt>
                <c:pt idx="65">
                  <c:v>6.5795306312773664E-3</c:v>
                </c:pt>
                <c:pt idx="66">
                  <c:v>6.801517881365726E-3</c:v>
                </c:pt>
                <c:pt idx="67">
                  <c:v>7.0270275632882528E-3</c:v>
                </c:pt>
                <c:pt idx="68">
                  <c:v>7.2560049873538384E-3</c:v>
                </c:pt>
                <c:pt idx="69">
                  <c:v>7.48839244064295E-3</c:v>
                </c:pt>
                <c:pt idx="70">
                  <c:v>7.7241292356608213E-3</c:v>
                </c:pt>
                <c:pt idx="71">
                  <c:v>7.9631517619181084E-3</c:v>
                </c:pt>
                <c:pt idx="72">
                  <c:v>8.2053935399259165E-3</c:v>
                </c:pt>
                <c:pt idx="73">
                  <c:v>8.4507852810429933E-3</c:v>
                </c:pt>
                <c:pt idx="74">
                  <c:v>8.6992549511201653E-3</c:v>
                </c:pt>
                <c:pt idx="75">
                  <c:v>8.9507278349881484E-3</c:v>
                </c:pt>
                <c:pt idx="76">
                  <c:v>9.2051266051680451E-3</c:v>
                </c:pt>
                <c:pt idx="77">
                  <c:v>9.4623713995605624E-3</c:v>
                </c:pt>
                <c:pt idx="78">
                  <c:v>9.7223798941829202E-3</c:v>
                </c:pt>
                <c:pt idx="79">
                  <c:v>9.9850673816231934E-3</c:v>
                </c:pt>
                <c:pt idx="80">
                  <c:v>1.025034685457319E-2</c:v>
                </c:pt>
                <c:pt idx="81">
                  <c:v>1.0518129091603705E-2</c:v>
                </c:pt>
                <c:pt idx="82">
                  <c:v>1.0788322742734613E-2</c:v>
                </c:pt>
                <c:pt idx="83">
                  <c:v>1.1060834418272887E-2</c:v>
                </c:pt>
                <c:pt idx="84">
                  <c:v>1.1335568783711567E-2</c:v>
                </c:pt>
                <c:pt idx="85">
                  <c:v>1.1612428652698945E-2</c:v>
                </c:pt>
                <c:pt idx="86">
                  <c:v>1.1891315083061238E-2</c:v>
                </c:pt>
                <c:pt idx="87">
                  <c:v>1.2172127475593654E-2</c:v>
                </c:pt>
                <c:pt idx="88">
                  <c:v>1.2454763673256947E-2</c:v>
                </c:pt>
                <c:pt idx="89">
                  <c:v>1.2739120063327473E-2</c:v>
                </c:pt>
                <c:pt idx="90">
                  <c:v>1.3025091679882176E-2</c:v>
                </c:pt>
                <c:pt idx="91">
                  <c:v>1.3312572309741422E-2</c:v>
                </c:pt>
                <c:pt idx="92">
                  <c:v>1.3601454595730433E-2</c:v>
                </c:pt>
                <c:pt idx="93">
                  <c:v>1.3891630145000685E-2</c:v>
                </c:pt>
                <c:pt idx="94">
                  <c:v>1.4182989635630933E-2</c:v>
                </c:pt>
                <c:pt idx="95">
                  <c:v>1.4475422924993436E-2</c:v>
                </c:pt>
                <c:pt idx="96">
                  <c:v>1.4768819159079447E-2</c:v>
                </c:pt>
                <c:pt idx="97">
                  <c:v>1.5063066881178673E-2</c:v>
                </c:pt>
                <c:pt idx="98">
                  <c:v>1.5358054143025478E-2</c:v>
                </c:pt>
                <c:pt idx="99">
                  <c:v>1.5653668613149683E-2</c:v>
                </c:pt>
                <c:pt idx="100">
                  <c:v>1.5949797687217829E-2</c:v>
                </c:pt>
                <c:pt idx="101">
                  <c:v>1.6246328599416979E-2</c:v>
                </c:pt>
                <c:pt idx="102">
                  <c:v>1.6543148531089544E-2</c:v>
                </c:pt>
                <c:pt idx="103">
                  <c:v>1.6840144721434382E-2</c:v>
                </c:pt>
                <c:pt idx="104">
                  <c:v>1.7137204575301775E-2</c:v>
                </c:pt>
                <c:pt idx="105">
                  <c:v>1.743421577355253E-2</c:v>
                </c:pt>
                <c:pt idx="106">
                  <c:v>1.7731066379627465E-2</c:v>
                </c:pt>
                <c:pt idx="107">
                  <c:v>1.8027644949307513E-2</c:v>
                </c:pt>
                <c:pt idx="108">
                  <c:v>1.8323840634396748E-2</c:v>
                </c:pt>
                <c:pt idx="109">
                  <c:v>1.8619543290271431E-2</c:v>
                </c:pt>
                <c:pt idx="110">
                  <c:v>1.8914643579596675E-2</c:v>
                </c:pt>
                <c:pt idx="111">
                  <c:v>1.9209033075492876E-2</c:v>
                </c:pt>
                <c:pt idx="112">
                  <c:v>1.9502604365308686E-2</c:v>
                </c:pt>
                <c:pt idx="113">
                  <c:v>1.979525114862464E-2</c:v>
                </c:pt>
                <c:pt idx="114">
                  <c:v>2.008686833898677E-2</c:v>
                </c:pt>
                <c:pt idx="115">
                  <c:v>2.0377352160436037E-2</c:v>
                </c:pt>
                <c:pt idx="116">
                  <c:v>2.0666600243391321E-2</c:v>
                </c:pt>
                <c:pt idx="117">
                  <c:v>2.0954511721473956E-2</c:v>
                </c:pt>
                <c:pt idx="118">
                  <c:v>2.1240987319158511E-2</c:v>
                </c:pt>
                <c:pt idx="119">
                  <c:v>2.1525929448646921E-2</c:v>
                </c:pt>
                <c:pt idx="120">
                  <c:v>2.1809242294645103E-2</c:v>
                </c:pt>
                <c:pt idx="121">
                  <c:v>2.2090831901006927E-2</c:v>
                </c:pt>
                <c:pt idx="122">
                  <c:v>2.2370606259987352E-2</c:v>
                </c:pt>
                <c:pt idx="123">
                  <c:v>2.2648475388492875E-2</c:v>
                </c:pt>
                <c:pt idx="124">
                  <c:v>2.2924351414162616E-2</c:v>
                </c:pt>
                <c:pt idx="125">
                  <c:v>2.3198148649835246E-2</c:v>
                </c:pt>
                <c:pt idx="126">
                  <c:v>2.3469783671468132E-2</c:v>
                </c:pt>
                <c:pt idx="127">
                  <c:v>2.3739175391783624E-2</c:v>
                </c:pt>
                <c:pt idx="128">
                  <c:v>2.400624512942582E-2</c:v>
                </c:pt>
                <c:pt idx="129">
                  <c:v>2.427091667841029E-2</c:v>
                </c:pt>
                <c:pt idx="130">
                  <c:v>2.4533116377710593E-2</c:v>
                </c:pt>
                <c:pt idx="131">
                  <c:v>2.4792773170393804E-2</c:v>
                </c:pt>
                <c:pt idx="132">
                  <c:v>2.5049818665815619E-2</c:v>
                </c:pt>
                <c:pt idx="133">
                  <c:v>2.5304187199926772E-2</c:v>
                </c:pt>
                <c:pt idx="134">
                  <c:v>2.5555815890420098E-2</c:v>
                </c:pt>
                <c:pt idx="135">
                  <c:v>2.5804644689366572E-2</c:v>
                </c:pt>
                <c:pt idx="136">
                  <c:v>2.6050616433441042E-2</c:v>
                </c:pt>
                <c:pt idx="137">
                  <c:v>2.6293676892991922E-2</c:v>
                </c:pt>
                <c:pt idx="138">
                  <c:v>2.6533774816639301E-2</c:v>
                </c:pt>
                <c:pt idx="139">
                  <c:v>2.677086197332167E-2</c:v>
                </c:pt>
                <c:pt idx="140">
                  <c:v>2.700489319256625E-2</c:v>
                </c:pt>
                <c:pt idx="141">
                  <c:v>2.7235826399751112E-2</c:v>
                </c:pt>
                <c:pt idx="142">
                  <c:v>2.7463622651886729E-2</c:v>
                </c:pt>
                <c:pt idx="143">
                  <c:v>2.7688246166692188E-2</c:v>
                </c:pt>
                <c:pt idx="144">
                  <c:v>2.7909664353355006E-2</c:v>
                </c:pt>
                <c:pt idx="145">
                  <c:v>2.8127847834471267E-2</c:v>
                </c:pt>
                <c:pt idx="146">
                  <c:v>2.8342770472964515E-2</c:v>
                </c:pt>
                <c:pt idx="147">
                  <c:v>2.8554409387616497E-2</c:v>
                </c:pt>
                <c:pt idx="148">
                  <c:v>2.8762744971526286E-2</c:v>
                </c:pt>
                <c:pt idx="149">
                  <c:v>2.8967760906076143E-2</c:v>
                </c:pt>
                <c:pt idx="150">
                  <c:v>2.9169444171430869E-2</c:v>
                </c:pt>
                <c:pt idx="151">
                  <c:v>2.9367785054162786E-2</c:v>
                </c:pt>
                <c:pt idx="152">
                  <c:v>2.9562777152331531E-2</c:v>
                </c:pt>
                <c:pt idx="153">
                  <c:v>2.975441737794552E-2</c:v>
                </c:pt>
                <c:pt idx="154">
                  <c:v>2.9942705955302011E-2</c:v>
                </c:pt>
                <c:pt idx="155">
                  <c:v>3.0127646417462611E-2</c:v>
                </c:pt>
                <c:pt idx="156">
                  <c:v>3.0309245598956459E-2</c:v>
                </c:pt>
                <c:pt idx="157">
                  <c:v>3.0487513626071092E-2</c:v>
                </c:pt>
                <c:pt idx="158">
                  <c:v>3.0662463903798509E-2</c:v>
                </c:pt>
                <c:pt idx="159">
                  <c:v>3.0834113099910042E-2</c:v>
                </c:pt>
                <c:pt idx="160">
                  <c:v>3.1002481126052604E-2</c:v>
                </c:pt>
                <c:pt idx="161">
                  <c:v>3.1167591114531608E-2</c:v>
                </c:pt>
                <c:pt idx="162">
                  <c:v>3.13294693951831E-2</c:v>
                </c:pt>
                <c:pt idx="163">
                  <c:v>3.1488145465091238E-2</c:v>
                </c:pt>
                <c:pt idx="164">
                  <c:v>3.1643651958708885E-2</c:v>
                </c:pt>
                <c:pt idx="165">
                  <c:v>3.1796024612966892E-2</c:v>
                </c:pt>
                <c:pt idx="166">
                  <c:v>3.194530222992286E-2</c:v>
                </c:pt>
                <c:pt idx="167">
                  <c:v>3.2091526636467554E-2</c:v>
                </c:pt>
                <c:pt idx="168">
                  <c:v>3.2234742640008765E-2</c:v>
                </c:pt>
                <c:pt idx="169">
                  <c:v>3.2374997983741341E-2</c:v>
                </c:pt>
                <c:pt idx="170">
                  <c:v>3.2512343294292111E-2</c:v>
                </c:pt>
                <c:pt idx="171">
                  <c:v>3.2646832031504758E-2</c:v>
                </c:pt>
                <c:pt idx="172">
                  <c:v>3.277852043144993E-2</c:v>
                </c:pt>
                <c:pt idx="173">
                  <c:v>3.2907467448048004E-2</c:v>
                </c:pt>
                <c:pt idx="174">
                  <c:v>3.3033734692198558E-2</c:v>
                </c:pt>
                <c:pt idx="175">
                  <c:v>3.3157386364804073E-2</c:v>
                </c:pt>
                <c:pt idx="176">
                  <c:v>3.3278489190636994E-2</c:v>
                </c:pt>
                <c:pt idx="177">
                  <c:v>3.3397112346891196E-2</c:v>
                </c:pt>
                <c:pt idx="178">
                  <c:v>3.3513327388564343E-2</c:v>
                </c:pt>
                <c:pt idx="179">
                  <c:v>3.3627208172103483E-2</c:v>
                </c:pt>
                <c:pt idx="180">
                  <c:v>3.373883077517123E-2</c:v>
                </c:pt>
                <c:pt idx="181">
                  <c:v>3.3848273414189708E-2</c:v>
                </c:pt>
                <c:pt idx="182">
                  <c:v>3.3955616357269361E-2</c:v>
                </c:pt>
                <c:pt idx="183">
                  <c:v>3.406094183633239E-2</c:v>
                </c:pt>
                <c:pt idx="184">
                  <c:v>3.4164333953755427E-2</c:v>
                </c:pt>
                <c:pt idx="185">
                  <c:v>3.4265878591102972E-2</c:v>
                </c:pt>
                <c:pt idx="186">
                  <c:v>3.4365663307788216E-2</c:v>
                </c:pt>
                <c:pt idx="187">
                  <c:v>3.4463777245808555E-2</c:v>
                </c:pt>
                <c:pt idx="188">
                  <c:v>3.4560311023793186E-2</c:v>
                </c:pt>
                <c:pt idx="189">
                  <c:v>3.4655356635110504E-2</c:v>
                </c:pt>
                <c:pt idx="190">
                  <c:v>3.4749007336067408E-2</c:v>
                </c:pt>
                <c:pt idx="191">
                  <c:v>3.4841357541366372E-2</c:v>
                </c:pt>
                <c:pt idx="192">
                  <c:v>3.4932502707876879E-2</c:v>
                </c:pt>
                <c:pt idx="193">
                  <c:v>3.5022539224194446E-2</c:v>
                </c:pt>
                <c:pt idx="194">
                  <c:v>3.5111564292367656E-2</c:v>
                </c:pt>
                <c:pt idx="195">
                  <c:v>3.5199675810938344E-2</c:v>
                </c:pt>
                <c:pt idx="196">
                  <c:v>3.5286972255751621E-2</c:v>
                </c:pt>
                <c:pt idx="197">
                  <c:v>3.5373552558392966E-2</c:v>
                </c:pt>
                <c:pt idx="198">
                  <c:v>3.5459515983463509E-2</c:v>
                </c:pt>
                <c:pt idx="199">
                  <c:v>3.5544962006008561E-2</c:v>
                </c:pt>
                <c:pt idx="200">
                  <c:v>3.5629990185687792E-2</c:v>
                </c:pt>
                <c:pt idx="201">
                  <c:v>3.5714700041023915E-2</c:v>
                </c:pt>
                <c:pt idx="202">
                  <c:v>3.5799190925112516E-2</c:v>
                </c:pt>
                <c:pt idx="203">
                  <c:v>3.5883561896156838E-2</c:v>
                </c:pt>
                <c:pt idx="204">
                  <c:v>3.5967911591985827E-2</c:v>
                </c:pt>
                <c:pt idx="205">
                  <c:v>3.6052338102795005E-2</c:v>
                </c:pt>
                <c:pt idx="206">
                  <c:v>3.6136938845267419E-2</c:v>
                </c:pt>
                <c:pt idx="207">
                  <c:v>3.622181043439314E-2</c:v>
                </c:pt>
                <c:pt idx="208">
                  <c:v>3.6307048558384562E-2</c:v>
                </c:pt>
                <c:pt idx="209">
                  <c:v>3.6392747855233692E-2</c:v>
                </c:pt>
                <c:pt idx="210">
                  <c:v>3.6479001786395258E-2</c:v>
                </c:pt>
                <c:pt idx="211">
                  <c:v>3.6565902517334846E-2</c:v>
                </c:pt>
                <c:pt idx="212">
                  <c:v>3.665354079502426E-2</c:v>
                </c:pt>
                <c:pt idx="213">
                  <c:v>3.674200582981061E-2</c:v>
                </c:pt>
                <c:pt idx="214">
                  <c:v>3.6831385178808497E-2</c:v>
                </c:pt>
                <c:pt idx="215">
                  <c:v>3.6921764631846286E-2</c:v>
                </c:pt>
                <c:pt idx="216">
                  <c:v>3.7013228099828779E-2</c:v>
                </c:pt>
                <c:pt idx="217">
                  <c:v>3.7105857506089364E-2</c:v>
                </c:pt>
                <c:pt idx="218">
                  <c:v>3.7199732680629392E-2</c:v>
                </c:pt>
                <c:pt idx="219">
                  <c:v>3.7294931257862179E-2</c:v>
                </c:pt>
                <c:pt idx="220">
                  <c:v>3.7391528578757743E-2</c:v>
                </c:pt>
                <c:pt idx="221">
                  <c:v>3.7489597594577796E-2</c:v>
                </c:pt>
                <c:pt idx="222">
                  <c:v>3.7589208776864447E-2</c:v>
                </c:pt>
                <c:pt idx="223">
                  <c:v>3.7690430030076424E-2</c:v>
                </c:pt>
                <c:pt idx="224">
                  <c:v>3.7793326608933822E-2</c:v>
                </c:pt>
                <c:pt idx="225">
                  <c:v>3.789796104185638E-2</c:v>
                </c:pt>
                <c:pt idx="226">
                  <c:v>3.800439305338385E-2</c:v>
                </c:pt>
                <c:pt idx="227">
                  <c:v>3.8112679500725034E-2</c:v>
                </c:pt>
                <c:pt idx="228">
                  <c:v>3.8222874305751622E-2</c:v>
                </c:pt>
                <c:pt idx="229">
                  <c:v>3.8335028396638986E-2</c:v>
                </c:pt>
                <c:pt idx="230">
                  <c:v>3.8449189655235264E-2</c:v>
                </c:pt>
                <c:pt idx="231">
                  <c:v>3.8565402866559968E-2</c:v>
                </c:pt>
                <c:pt idx="232">
                  <c:v>3.8683709674818878E-2</c:v>
                </c:pt>
                <c:pt idx="233">
                  <c:v>3.8804148545602761E-2</c:v>
                </c:pt>
                <c:pt idx="234">
                  <c:v>3.8926754729663143E-2</c:v>
                </c:pt>
                <c:pt idx="235">
                  <c:v>3.9051560236481611E-2</c:v>
                </c:pt>
                <c:pt idx="236">
                  <c:v>3.9178593808838327E-2</c:v>
                </c:pt>
                <c:pt idx="237">
                  <c:v>3.9307880905726844E-2</c:v>
                </c:pt>
                <c:pt idx="238">
                  <c:v>3.9439443685485312E-2</c:v>
                </c:pt>
                <c:pt idx="239">
                  <c:v>3.9573300999695173E-2</c:v>
                </c:pt>
                <c:pt idx="240">
                  <c:v>3.970946838752764E-2</c:v>
                </c:pt>
                <c:pt idx="241">
                  <c:v>3.9847958075492136E-2</c:v>
                </c:pt>
                <c:pt idx="242">
                  <c:v>3.9988778981782394E-2</c:v>
                </c:pt>
                <c:pt idx="243">
                  <c:v>4.0131936726084401E-2</c:v>
                </c:pt>
                <c:pt idx="244">
                  <c:v>4.0277433644205753E-2</c:v>
                </c:pt>
                <c:pt idx="245">
                  <c:v>4.0425268801918261E-2</c:v>
                </c:pt>
                <c:pt idx="246">
                  <c:v>4.057543801793783E-2</c:v>
                </c:pt>
                <c:pt idx="247">
                  <c:v>4.072793389087831E-2</c:v>
                </c:pt>
                <c:pt idx="248">
                  <c:v>4.0882745823351815E-2</c:v>
                </c:pt>
                <c:pt idx="249">
                  <c:v>4.1039860058270927E-2</c:v>
                </c:pt>
                <c:pt idx="250">
                  <c:v>4.1199259710088587E-2</c:v>
                </c:pt>
                <c:pt idx="251">
                  <c:v>4.1360924805464272E-2</c:v>
                </c:pt>
                <c:pt idx="252">
                  <c:v>4.1524832322959247E-2</c:v>
                </c:pt>
                <c:pt idx="253">
                  <c:v>4.1690956237490945E-2</c:v>
                </c:pt>
                <c:pt idx="254">
                  <c:v>4.1859267566640504E-2</c:v>
                </c:pt>
                <c:pt idx="255">
                  <c:v>4.2029734418556911E-2</c:v>
                </c:pt>
                <c:pt idx="256">
                  <c:v>4.2202322043433944E-2</c:v>
                </c:pt>
                <c:pt idx="257">
                  <c:v>4.2376992888251475E-2</c:v>
                </c:pt>
                <c:pt idx="258">
                  <c:v>4.2553706647780527E-2</c:v>
                </c:pt>
                <c:pt idx="259">
                  <c:v>4.2732420325472545E-2</c:v>
                </c:pt>
                <c:pt idx="260">
                  <c:v>4.2913088290629689E-2</c:v>
                </c:pt>
                <c:pt idx="261">
                  <c:v>4.3095662337971241E-2</c:v>
                </c:pt>
                <c:pt idx="262">
                  <c:v>4.3280091750246857E-2</c:v>
                </c:pt>
                <c:pt idx="263">
                  <c:v>4.3466323360712475E-2</c:v>
                </c:pt>
                <c:pt idx="264">
                  <c:v>4.3654301619094629E-2</c:v>
                </c:pt>
                <c:pt idx="265">
                  <c:v>4.3843968656258094E-2</c:v>
                </c:pt>
                <c:pt idx="266">
                  <c:v>4.4035264351086255E-2</c:v>
                </c:pt>
                <c:pt idx="267">
                  <c:v>4.4228126399936389E-2</c:v>
                </c:pt>
                <c:pt idx="268">
                  <c:v>4.4422490385072316E-2</c:v>
                </c:pt>
                <c:pt idx="269">
                  <c:v>4.4618289845752626E-2</c:v>
                </c:pt>
                <c:pt idx="270">
                  <c:v>4.4815456349677062E-2</c:v>
                </c:pt>
                <c:pt idx="271">
                  <c:v>4.5013919565129429E-2</c:v>
                </c:pt>
                <c:pt idx="272">
                  <c:v>4.5213607335294032E-2</c:v>
                </c:pt>
                <c:pt idx="273">
                  <c:v>4.5414445754332067E-2</c:v>
                </c:pt>
                <c:pt idx="274">
                  <c:v>4.5616359240131819E-2</c:v>
                </c:pt>
                <c:pt idx="275">
                  <c:v>4.5819270614560453E-2</c:v>
                </c:pt>
                <c:pt idx="276">
                  <c:v>4.6023101179602871E-2</c:v>
                </c:pt>
                <c:pt idx="277">
                  <c:v>4.6227770797554107E-2</c:v>
                </c:pt>
                <c:pt idx="278">
                  <c:v>4.6433197970834263E-2</c:v>
                </c:pt>
                <c:pt idx="279">
                  <c:v>4.6639299924200822E-2</c:v>
                </c:pt>
                <c:pt idx="280">
                  <c:v>4.6845992686842829E-2</c:v>
                </c:pt>
                <c:pt idx="281">
                  <c:v>4.7053191177204037E-2</c:v>
                </c:pt>
                <c:pt idx="282">
                  <c:v>4.7260809287518309E-2</c:v>
                </c:pt>
                <c:pt idx="283">
                  <c:v>4.7468759970964898E-2</c:v>
                </c:pt>
                <c:pt idx="284">
                  <c:v>4.7676955329910654E-2</c:v>
                </c:pt>
                <c:pt idx="285">
                  <c:v>4.7885306704243312E-2</c:v>
                </c:pt>
                <c:pt idx="286">
                  <c:v>4.8093724763640433E-2</c:v>
                </c:pt>
                <c:pt idx="287">
                  <c:v>4.8302119597549389E-2</c:v>
                </c:pt>
                <c:pt idx="288">
                  <c:v>4.8510400810657564E-2</c:v>
                </c:pt>
                <c:pt idx="289">
                  <c:v>4.8718477618929411E-2</c:v>
                </c:pt>
                <c:pt idx="290">
                  <c:v>4.8926258939485941E-2</c:v>
                </c:pt>
                <c:pt idx="291">
                  <c:v>4.9133653498665684E-2</c:v>
                </c:pt>
                <c:pt idx="292">
                  <c:v>4.9340569924235765E-2</c:v>
                </c:pt>
                <c:pt idx="293">
                  <c:v>4.9546916848314734E-2</c:v>
                </c:pt>
                <c:pt idx="294">
                  <c:v>4.9752603008719518E-2</c:v>
                </c:pt>
                <c:pt idx="295">
                  <c:v>4.9957537355238307E-2</c:v>
                </c:pt>
                <c:pt idx="296">
                  <c:v>5.0161629151297321E-2</c:v>
                </c:pt>
                <c:pt idx="297">
                  <c:v>5.0364788081558483E-2</c:v>
                </c:pt>
                <c:pt idx="298">
                  <c:v>5.0566924356546278E-2</c:v>
                </c:pt>
                <c:pt idx="299">
                  <c:v>5.0767948826489641E-2</c:v>
                </c:pt>
                <c:pt idx="300">
                  <c:v>5.0967773084646013E-2</c:v>
                </c:pt>
                <c:pt idx="301">
                  <c:v>5.1166309581096851E-2</c:v>
                </c:pt>
                <c:pt idx="302">
                  <c:v>5.1363471730356929E-2</c:v>
                </c:pt>
                <c:pt idx="303">
                  <c:v>5.1559174027536403E-2</c:v>
                </c:pt>
                <c:pt idx="304">
                  <c:v>5.175333216422983E-2</c:v>
                </c:pt>
                <c:pt idx="305">
                  <c:v>5.1945863134607542E-2</c:v>
                </c:pt>
                <c:pt idx="306">
                  <c:v>5.2136685363451542E-2</c:v>
                </c:pt>
                <c:pt idx="307">
                  <c:v>5.2325718812708123E-2</c:v>
                </c:pt>
                <c:pt idx="308">
                  <c:v>5.2512885104125703E-2</c:v>
                </c:pt>
                <c:pt idx="309">
                  <c:v>5.2698107634958968E-2</c:v>
                </c:pt>
                <c:pt idx="310">
                  <c:v>5.2881311694990989E-2</c:v>
                </c:pt>
                <c:pt idx="311">
                  <c:v>5.306242458374532E-2</c:v>
                </c:pt>
                <c:pt idx="312">
                  <c:v>5.3241375729953182E-2</c:v>
                </c:pt>
                <c:pt idx="313">
                  <c:v>5.3418096806418965E-2</c:v>
                </c:pt>
                <c:pt idx="314">
                  <c:v>5.3592521847739952E-2</c:v>
                </c:pt>
                <c:pt idx="315">
                  <c:v>5.3764587365400768E-2</c:v>
                </c:pt>
                <c:pt idx="316">
                  <c:v>5.3934232466399744E-2</c:v>
                </c:pt>
                <c:pt idx="317">
                  <c:v>5.410139896575146E-2</c:v>
                </c:pt>
                <c:pt idx="318">
                  <c:v>5.4266031502102893E-2</c:v>
                </c:pt>
                <c:pt idx="319">
                  <c:v>5.4428077650534944E-2</c:v>
                </c:pt>
                <c:pt idx="320">
                  <c:v>5.4587488034503161E-2</c:v>
                </c:pt>
                <c:pt idx="321">
                  <c:v>5.4744216437652746E-2</c:v>
                </c:pt>
                <c:pt idx="322">
                  <c:v>5.4898219912072582E-2</c:v>
                </c:pt>
                <c:pt idx="323">
                  <c:v>5.5049458885667542E-2</c:v>
                </c:pt>
                <c:pt idx="324">
                  <c:v>5.519789726826254E-2</c:v>
                </c:pt>
                <c:pt idx="325">
                  <c:v>5.5343502555592228E-2</c:v>
                </c:pt>
                <c:pt idx="326">
                  <c:v>5.5486245930323655E-2</c:v>
                </c:pt>
                <c:pt idx="327">
                  <c:v>5.5626102361116321E-2</c:v>
                </c:pt>
                <c:pt idx="328">
                  <c:v>5.5763050698998076E-2</c:v>
                </c:pt>
                <c:pt idx="329">
                  <c:v>5.5897073771259638E-2</c:v>
                </c:pt>
                <c:pt idx="330">
                  <c:v>5.6028158472187423E-2</c:v>
                </c:pt>
                <c:pt idx="331">
                  <c:v>5.6156295850331168E-2</c:v>
                </c:pt>
                <c:pt idx="332">
                  <c:v>5.6281481192965485E-2</c:v>
                </c:pt>
                <c:pt idx="333">
                  <c:v>5.6403714106466024E-2</c:v>
                </c:pt>
                <c:pt idx="334">
                  <c:v>5.6522998593153538E-2</c:v>
                </c:pt>
                <c:pt idx="335">
                  <c:v>5.6639343124394975E-2</c:v>
                </c:pt>
                <c:pt idx="336">
                  <c:v>5.6752760709887225E-2</c:v>
                </c:pt>
                <c:pt idx="337">
                  <c:v>5.68632689593251E-2</c:v>
                </c:pt>
                <c:pt idx="338">
                  <c:v>5.6970890146801331E-2</c:v>
                </c:pt>
                <c:pt idx="339">
                  <c:v>5.7075651261711817E-2</c:v>
                </c:pt>
                <c:pt idx="340">
                  <c:v>5.7177584059521933E-2</c:v>
                </c:pt>
                <c:pt idx="341">
                  <c:v>5.7276725107578252E-2</c:v>
                </c:pt>
                <c:pt idx="342">
                  <c:v>5.7373115824620104E-2</c:v>
                </c:pt>
                <c:pt idx="343">
                  <c:v>5.7466802512034773E-2</c:v>
                </c:pt>
                <c:pt idx="344">
                  <c:v>5.7557836382848226E-2</c:v>
                </c:pt>
                <c:pt idx="345">
                  <c:v>5.7646273583795149E-2</c:v>
                </c:pt>
                <c:pt idx="346">
                  <c:v>5.7732175208928746E-2</c:v>
                </c:pt>
                <c:pt idx="347">
                  <c:v>5.7815607309002058E-2</c:v>
                </c:pt>
                <c:pt idx="348">
                  <c:v>5.7896640892753017E-2</c:v>
                </c:pt>
                <c:pt idx="349">
                  <c:v>5.7975351921006134E-2</c:v>
                </c:pt>
                <c:pt idx="350">
                  <c:v>5.8051821294209272E-2</c:v>
                </c:pt>
                <c:pt idx="351">
                  <c:v>5.812613483341747E-2</c:v>
                </c:pt>
                <c:pt idx="352">
                  <c:v>5.8198383247858095E-2</c:v>
                </c:pt>
                <c:pt idx="353">
                  <c:v>5.8268662103284276E-2</c:v>
                </c:pt>
                <c:pt idx="354">
                  <c:v>5.8337071776202933E-2</c:v>
                </c:pt>
                <c:pt idx="355">
                  <c:v>5.8403717397949438E-2</c:v>
                </c:pt>
                <c:pt idx="356">
                  <c:v>5.8468708798726336E-2</c:v>
                </c:pt>
                <c:pt idx="357">
                  <c:v>5.8532160430965839E-2</c:v>
                </c:pt>
                <c:pt idx="358">
                  <c:v>5.8594191294092046E-2</c:v>
                </c:pt>
                <c:pt idx="359">
                  <c:v>5.8654924844104707E-2</c:v>
                </c:pt>
                <c:pt idx="360">
                  <c:v>5.8714488894437263E-2</c:v>
                </c:pt>
                <c:pt idx="361">
                  <c:v>5.8773015509068084E-2</c:v>
                </c:pt>
                <c:pt idx="362">
                  <c:v>5.8830640883225344E-2</c:v>
                </c:pt>
                <c:pt idx="363">
                  <c:v>5.8887505216949583E-2</c:v>
                </c:pt>
                <c:pt idx="364">
                  <c:v>5.8943752577551391E-2</c:v>
                </c:pt>
                <c:pt idx="365">
                  <c:v>5.8999530748433719E-2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3D-4C28-B815-4FC73864F8EF}"/>
            </c:ext>
          </c:extLst>
        </c:ser>
        <c:ser>
          <c:idx val="2"/>
          <c:order val="2"/>
          <c:tx>
            <c:strRef>
              <c:f>horizons_error_log2!$Y$1</c:f>
              <c:strCache>
                <c:ptCount val="1"/>
                <c:pt idx="0">
                  <c:v>Earth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horizons_error_log2!$V$2:$V$367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horizons_error_log2!$Y$2:$Y$367</c:f>
              <c:numCache>
                <c:formatCode>General</c:formatCode>
                <c:ptCount val="366"/>
                <c:pt idx="0">
                  <c:v>0</c:v>
                </c:pt>
                <c:pt idx="1">
                  <c:v>4.5409693975971453E-7</c:v>
                </c:pt>
                <c:pt idx="2">
                  <c:v>1.8382195077236164E-6</c:v>
                </c:pt>
                <c:pt idx="3">
                  <c:v>4.1885906270926739E-6</c:v>
                </c:pt>
                <c:pt idx="4">
                  <c:v>7.5388930451425794E-6</c:v>
                </c:pt>
                <c:pt idx="5">
                  <c:v>1.1912395212208822E-5</c:v>
                </c:pt>
                <c:pt idx="6">
                  <c:v>1.7315681859462633E-5</c:v>
                </c:pt>
                <c:pt idx="7">
                  <c:v>2.3734602772172596E-5</c:v>
                </c:pt>
                <c:pt idx="8">
                  <c:v>3.1133696951830214E-5</c:v>
                </c:pt>
                <c:pt idx="9">
                  <c:v>3.9461154036861093E-5</c:v>
                </c:pt>
                <c:pt idx="10">
                  <c:v>4.8661538647075064E-5</c:v>
                </c:pt>
                <c:pt idx="11">
                  <c:v>5.8697044152987233E-5</c:v>
                </c:pt>
                <c:pt idx="12">
                  <c:v>6.9574116160979281E-5</c:v>
                </c:pt>
                <c:pt idx="13">
                  <c:v>8.1366868317235287E-5</c:v>
                </c:pt>
                <c:pt idx="14">
                  <c:v>9.4225340146586217E-5</c:v>
                </c:pt>
                <c:pt idx="15">
                  <c:v>1.0835978202738169E-4</c:v>
                </c:pt>
                <c:pt idx="16">
                  <c:v>1.2400236223245121E-4</c:v>
                </c:pt>
                <c:pt idx="17">
                  <c:v>1.4135897821721257E-4</c:v>
                </c:pt>
                <c:pt idx="18">
                  <c:v>1.6056800130613905E-4</c:v>
                </c:pt>
                <c:pt idx="19">
                  <c:v>1.8167753220861365E-4</c:v>
                </c:pt>
                <c:pt idx="20">
                  <c:v>2.0464326434574732E-4</c:v>
                </c:pt>
                <c:pt idx="21">
                  <c:v>2.2934210572421053E-4</c:v>
                </c:pt>
                <c:pt idx="22">
                  <c:v>2.5559462884224932E-4</c:v>
                </c:pt>
                <c:pt idx="23">
                  <c:v>2.8319056345167248E-4</c:v>
                </c:pt>
                <c:pt idx="24">
                  <c:v>3.1191336521975606E-4</c:v>
                </c:pt>
                <c:pt idx="25">
                  <c:v>3.4156117471214708E-4</c:v>
                </c:pt>
                <c:pt idx="26">
                  <c:v>3.7196231899425667E-4</c:v>
                </c:pt>
                <c:pt idx="27">
                  <c:v>4.0298426865568321E-4</c:v>
                </c:pt>
                <c:pt idx="28">
                  <c:v>4.3453595669596393E-4</c:v>
                </c:pt>
                <c:pt idx="29">
                  <c:v>4.6656439333895455E-4</c:v>
                </c:pt>
                <c:pt idx="30">
                  <c:v>4.9904728687005415E-4</c:v>
                </c:pt>
                <c:pt idx="31">
                  <c:v>5.3198370488367506E-4</c:v>
                </c:pt>
                <c:pt idx="32">
                  <c:v>5.6538476500094914E-4</c:v>
                </c:pt>
                <c:pt idx="33">
                  <c:v>5.9926610259421859E-4</c:v>
                </c:pt>
                <c:pt idx="34">
                  <c:v>6.3364372946523467E-4</c:v>
                </c:pt>
                <c:pt idx="35">
                  <c:v>6.6853494594483291E-4</c:v>
                </c:pt>
                <c:pt idx="36">
                  <c:v>7.0396605262379019E-4</c:v>
                </c:pt>
                <c:pt idx="37">
                  <c:v>7.3998830334182487E-4</c:v>
                </c:pt>
                <c:pt idx="38">
                  <c:v>7.7670175761210551E-4</c:v>
                </c:pt>
                <c:pt idx="39">
                  <c:v>8.1428267911494651E-4</c:v>
                </c:pt>
                <c:pt idx="40">
                  <c:v>8.5300415163432498E-4</c:v>
                </c:pt>
                <c:pt idx="41">
                  <c:v>8.9323512098514034E-4</c:v>
                </c:pt>
                <c:pt idx="42">
                  <c:v>9.3540631991405744E-4</c:v>
                </c:pt>
                <c:pt idx="43">
                  <c:v>9.7994561171965916E-4</c:v>
                </c:pt>
                <c:pt idx="44">
                  <c:v>1.0272031524633956E-3</c:v>
                </c:pt>
                <c:pt idx="45">
                  <c:v>1.0773940471650667E-3</c:v>
                </c:pt>
                <c:pt idx="46">
                  <c:v>1.1305760114981617E-3</c:v>
                </c:pt>
                <c:pt idx="47">
                  <c:v>1.1866609447902408E-3</c:v>
                </c:pt>
                <c:pt idx="48">
                  <c:v>1.2454466333306283E-3</c:v>
                </c:pt>
                <c:pt idx="49">
                  <c:v>1.3066535400991443E-3</c:v>
                </c:pt>
                <c:pt idx="50">
                  <c:v>1.3699574697138637E-3</c:v>
                </c:pt>
                <c:pt idx="51">
                  <c:v>1.4350152930911297E-3</c:v>
                </c:pt>
                <c:pt idx="52">
                  <c:v>1.5014846854089037E-3</c:v>
                </c:pt>
                <c:pt idx="53">
                  <c:v>1.5690397917662098E-3</c:v>
                </c:pt>
                <c:pt idx="54">
                  <c:v>1.6373840728035691E-3</c:v>
                </c:pt>
                <c:pt idx="55">
                  <c:v>1.706260442449258E-3</c:v>
                </c:pt>
                <c:pt idx="56">
                  <c:v>1.7754580056135361E-3</c:v>
                </c:pt>
                <c:pt idx="57">
                  <c:v>1.8448145750630349E-3</c:v>
                </c:pt>
                <c:pt idx="58">
                  <c:v>1.9142146950745721E-3</c:v>
                </c:pt>
                <c:pt idx="59">
                  <c:v>1.9835838302728745E-3</c:v>
                </c:pt>
                <c:pt idx="60">
                  <c:v>2.0528803537388902E-3</c:v>
                </c:pt>
                <c:pt idx="61">
                  <c:v>2.1220877075993046E-3</c:v>
                </c:pt>
                <c:pt idx="62">
                  <c:v>2.191209581715869E-3</c:v>
                </c:pt>
                <c:pt idx="63">
                  <c:v>2.2602712037148929E-3</c:v>
                </c:pt>
                <c:pt idx="64">
                  <c:v>2.3293298106722058E-3</c:v>
                </c:pt>
                <c:pt idx="65">
                  <c:v>2.3984966460232154E-3</c:v>
                </c:pt>
                <c:pt idx="66">
                  <c:v>2.4679702947290106E-3</c:v>
                </c:pt>
                <c:pt idx="67">
                  <c:v>2.5380754788052874E-3</c:v>
                </c:pt>
                <c:pt idx="68">
                  <c:v>2.6092923301768651E-3</c:v>
                </c:pt>
                <c:pt idx="69">
                  <c:v>2.6822526166502807E-3</c:v>
                </c:pt>
                <c:pt idx="70">
                  <c:v>2.7576812490423194E-3</c:v>
                </c:pt>
                <c:pt idx="71">
                  <c:v>2.836282830300782E-3</c:v>
                </c:pt>
                <c:pt idx="72">
                  <c:v>2.9186075814919788E-3</c:v>
                </c:pt>
                <c:pt idx="73">
                  <c:v>3.0049515726610094E-3</c:v>
                </c:pt>
                <c:pt idx="74">
                  <c:v>3.095330003068289E-3</c:v>
                </c:pt>
                <c:pt idx="75">
                  <c:v>3.1895209422353669E-3</c:v>
                </c:pt>
                <c:pt idx="76">
                  <c:v>3.2871452210357422E-3</c:v>
                </c:pt>
                <c:pt idx="77">
                  <c:v>3.3877452125502809E-3</c:v>
                </c:pt>
                <c:pt idx="78">
                  <c:v>3.4908416678339975E-3</c:v>
                </c:pt>
                <c:pt idx="79">
                  <c:v>3.5959654097961224E-3</c:v>
                </c:pt>
                <c:pt idx="80">
                  <c:v>3.7026703993505751E-3</c:v>
                </c:pt>
                <c:pt idx="81">
                  <c:v>3.810536822112868E-3</c:v>
                </c:pt>
                <c:pt idx="82">
                  <c:v>3.9191710712025134E-3</c:v>
                </c:pt>
                <c:pt idx="83">
                  <c:v>4.0282067612208558E-3</c:v>
                </c:pt>
                <c:pt idx="84">
                  <c:v>4.1373082697132553E-3</c:v>
                </c:pt>
                <c:pt idx="85">
                  <c:v>4.246176423489993E-3</c:v>
                </c:pt>
                <c:pt idx="86">
                  <c:v>4.354554779001537E-3</c:v>
                </c:pt>
                <c:pt idx="87">
                  <c:v>4.4622347183040445E-3</c:v>
                </c:pt>
                <c:pt idx="88">
                  <c:v>4.5690581407375128E-3</c:v>
                </c:pt>
                <c:pt idx="89">
                  <c:v>4.6749178851332087E-3</c:v>
                </c:pt>
                <c:pt idx="90">
                  <c:v>4.7797575547711829E-3</c:v>
                </c:pt>
                <c:pt idx="91">
                  <c:v>4.8835739228941912E-3</c:v>
                </c:pt>
                <c:pt idx="92">
                  <c:v>4.9864259866894646E-3</c:v>
                </c:pt>
                <c:pt idx="93">
                  <c:v>5.0884545784290842E-3</c:v>
                </c:pt>
                <c:pt idx="94">
                  <c:v>5.1899143525926533E-3</c:v>
                </c:pt>
                <c:pt idx="95">
                  <c:v>5.2912147112545186E-3</c:v>
                </c:pt>
                <c:pt idx="96">
                  <c:v>5.3929568967527475E-3</c:v>
                </c:pt>
                <c:pt idx="97">
                  <c:v>5.4959431134004276E-3</c:v>
                </c:pt>
                <c:pt idx="98">
                  <c:v>5.6011281794330946E-3</c:v>
                </c:pt>
                <c:pt idx="99">
                  <c:v>5.7094978369834565E-3</c:v>
                </c:pt>
                <c:pt idx="100">
                  <c:v>5.8218952469121787E-3</c:v>
                </c:pt>
                <c:pt idx="101">
                  <c:v>5.9388582272904269E-3</c:v>
                </c:pt>
                <c:pt idx="102">
                  <c:v>6.0605366393048591E-3</c:v>
                </c:pt>
                <c:pt idx="103">
                  <c:v>6.1867177076892774E-3</c:v>
                </c:pt>
                <c:pt idx="104">
                  <c:v>6.3169299162176007E-3</c:v>
                </c:pt>
                <c:pt idx="105">
                  <c:v>6.450568244399265E-3</c:v>
                </c:pt>
                <c:pt idx="106">
                  <c:v>6.5869950979382547E-3</c:v>
                </c:pt>
                <c:pt idx="107">
                  <c:v>6.725599555057353E-3</c:v>
                </c:pt>
                <c:pt idx="108">
                  <c:v>6.8658194824878348E-3</c:v>
                </c:pt>
                <c:pt idx="109">
                  <c:v>7.0071398355956551E-3</c:v>
                </c:pt>
                <c:pt idx="110">
                  <c:v>7.1490801797712573E-3</c:v>
                </c:pt>
                <c:pt idx="111">
                  <c:v>7.2911808973055471E-3</c:v>
                </c:pt>
                <c:pt idx="112">
                  <c:v>7.432993880076671E-3</c:v>
                </c:pt>
                <c:pt idx="113">
                  <c:v>7.5740806292123658E-3</c:v>
                </c:pt>
                <c:pt idx="114">
                  <c:v>7.714018507789906E-3</c:v>
                </c:pt>
                <c:pt idx="115">
                  <c:v>7.8524140454504007E-3</c:v>
                </c:pt>
                <c:pt idx="116">
                  <c:v>7.9889207989302137E-3</c:v>
                </c:pt>
                <c:pt idx="117">
                  <c:v>8.1232586268700537E-3</c:v>
                </c:pt>
                <c:pt idx="118">
                  <c:v>8.2552317337432485E-3</c:v>
                </c:pt>
                <c:pt idx="119">
                  <c:v>8.3847444923445189E-3</c:v>
                </c:pt>
                <c:pt idx="120">
                  <c:v>8.5118163262963911E-3</c:v>
                </c:pt>
                <c:pt idx="121">
                  <c:v>8.6365987494920454E-3</c:v>
                </c:pt>
                <c:pt idx="122">
                  <c:v>8.7593976787058159E-3</c:v>
                </c:pt>
                <c:pt idx="123">
                  <c:v>8.8807010695487291E-3</c:v>
                </c:pt>
                <c:pt idx="124">
                  <c:v>9.0012050717854942E-3</c:v>
                </c:pt>
                <c:pt idx="125">
                  <c:v>9.1218221848245323E-3</c:v>
                </c:pt>
                <c:pt idx="126">
                  <c:v>9.2436471032213887E-3</c:v>
                </c:pt>
                <c:pt idx="127">
                  <c:v>9.3678591131504015E-3</c:v>
                </c:pt>
                <c:pt idx="128">
                  <c:v>9.4955625762016029E-3</c:v>
                </c:pt>
                <c:pt idx="129">
                  <c:v>9.6276044035264723E-3</c:v>
                </c:pt>
                <c:pt idx="130">
                  <c:v>9.764434574983355E-3</c:v>
                </c:pt>
                <c:pt idx="131">
                  <c:v>9.9060647518642367E-3</c:v>
                </c:pt>
                <c:pt idx="132">
                  <c:v>1.0052132441171858E-2</c:v>
                </c:pt>
                <c:pt idx="133">
                  <c:v>1.0202029572280214E-2</c:v>
                </c:pt>
                <c:pt idx="134">
                  <c:v>1.0355038021231149E-2</c:v>
                </c:pt>
                <c:pt idx="135">
                  <c:v>1.0510431373767046E-2</c:v>
                </c:pt>
                <c:pt idx="136">
                  <c:v>1.0667529879846458E-2</c:v>
                </c:pt>
                <c:pt idx="137">
                  <c:v>1.0825715375314772E-2</c:v>
                </c:pt>
                <c:pt idx="138">
                  <c:v>1.0984420404150869E-2</c:v>
                </c:pt>
                <c:pt idx="139">
                  <c:v>1.1143105229397125E-2</c:v>
                </c:pt>
                <c:pt idx="140">
                  <c:v>1.1301233128126604E-2</c:v>
                </c:pt>
                <c:pt idx="141">
                  <c:v>1.1458251377370122E-2</c:v>
                </c:pt>
                <c:pt idx="142">
                  <c:v>1.1613583269635828E-2</c:v>
                </c:pt>
                <c:pt idx="143">
                  <c:v>1.1766634873283556E-2</c:v>
                </c:pt>
                <c:pt idx="144">
                  <c:v>1.191681818091056E-2</c:v>
                </c:pt>
                <c:pt idx="145">
                  <c:v>1.2063589307255682E-2</c:v>
                </c:pt>
                <c:pt idx="146">
                  <c:v>1.2206496856677004E-2</c:v>
                </c:pt>
                <c:pt idx="147">
                  <c:v>1.2345232754308821E-2</c:v>
                </c:pt>
                <c:pt idx="148">
                  <c:v>1.2479677244281884E-2</c:v>
                </c:pt>
                <c:pt idx="149">
                  <c:v>1.2609932035201403E-2</c:v>
                </c:pt>
                <c:pt idx="150">
                  <c:v>1.2736339532842846E-2</c:v>
                </c:pt>
                <c:pt idx="151">
                  <c:v>1.2859489156143985E-2</c:v>
                </c:pt>
                <c:pt idx="152">
                  <c:v>1.2980211378997727E-2</c:v>
                </c:pt>
                <c:pt idx="153">
                  <c:v>1.3099555771916977E-2</c:v>
                </c:pt>
                <c:pt idx="154">
                  <c:v>1.3218743467045654E-2</c:v>
                </c:pt>
                <c:pt idx="155">
                  <c:v>1.3339082517302005E-2</c:v>
                </c:pt>
                <c:pt idx="156">
                  <c:v>1.3461842518529879E-2</c:v>
                </c:pt>
                <c:pt idx="157">
                  <c:v>1.3588103882770989E-2</c:v>
                </c:pt>
                <c:pt idx="158">
                  <c:v>1.3718618628019119E-2</c:v>
                </c:pt>
                <c:pt idx="159">
                  <c:v>1.3853727122371991E-2</c:v>
                </c:pt>
                <c:pt idx="160">
                  <c:v>1.3993358133119785E-2</c:v>
                </c:pt>
                <c:pt idx="161">
                  <c:v>1.4137105733704481E-2</c:v>
                </c:pt>
                <c:pt idx="162">
                  <c:v>1.4284348052914573E-2</c:v>
                </c:pt>
                <c:pt idx="163">
                  <c:v>1.4434365694753476E-2</c:v>
                </c:pt>
                <c:pt idx="164">
                  <c:v>1.458643021402814E-2</c:v>
                </c:pt>
                <c:pt idx="165">
                  <c:v>1.4739852155484359E-2</c:v>
                </c:pt>
                <c:pt idx="166">
                  <c:v>1.4893992620012902E-2</c:v>
                </c:pt>
                <c:pt idx="167">
                  <c:v>1.5048248830281484E-2</c:v>
                </c:pt>
                <c:pt idx="168">
                  <c:v>1.5202024964033624E-2</c:v>
                </c:pt>
                <c:pt idx="169">
                  <c:v>1.5354698207892713E-2</c:v>
                </c:pt>
                <c:pt idx="170">
                  <c:v>1.5505588950108824E-2</c:v>
                </c:pt>
                <c:pt idx="171">
                  <c:v>1.5653944021136429E-2</c:v>
                </c:pt>
                <c:pt idx="172">
                  <c:v>1.5798942161897329E-2</c:v>
                </c:pt>
                <c:pt idx="173">
                  <c:v>1.593972968496337E-2</c:v>
                </c:pt>
                <c:pt idx="174">
                  <c:v>1.6075489523228612E-2</c:v>
                </c:pt>
                <c:pt idx="175">
                  <c:v>1.6205537735319922E-2</c:v>
                </c:pt>
                <c:pt idx="176">
                  <c:v>1.6329430272657954E-2</c:v>
                </c:pt>
                <c:pt idx="177">
                  <c:v>1.6447054899405681E-2</c:v>
                </c:pt>
                <c:pt idx="178">
                  <c:v>1.655868432625722E-2</c:v>
                </c:pt>
                <c:pt idx="179">
                  <c:v>1.6664977919581884E-2</c:v>
                </c:pt>
                <c:pt idx="180">
                  <c:v>1.6766934922806752E-2</c:v>
                </c:pt>
                <c:pt idx="181">
                  <c:v>1.6865813208635963E-2</c:v>
                </c:pt>
                <c:pt idx="182">
                  <c:v>1.6963029321951335E-2</c:v>
                </c:pt>
                <c:pt idx="183">
                  <c:v>1.7060050248193452E-2</c:v>
                </c:pt>
                <c:pt idx="184">
                  <c:v>1.7158281759749663E-2</c:v>
                </c:pt>
                <c:pt idx="185">
                  <c:v>1.7258957993026135E-2</c:v>
                </c:pt>
                <c:pt idx="186">
                  <c:v>1.7363042562424866E-2</c:v>
                </c:pt>
                <c:pt idx="187">
                  <c:v>1.7471157845388101E-2</c:v>
                </c:pt>
                <c:pt idx="188">
                  <c:v>1.7583558990973327E-2</c:v>
                </c:pt>
                <c:pt idx="189">
                  <c:v>1.7700159509106084E-2</c:v>
                </c:pt>
                <c:pt idx="190">
                  <c:v>1.782059998284238E-2</c:v>
                </c:pt>
                <c:pt idx="191">
                  <c:v>1.7944339001113637E-2</c:v>
                </c:pt>
                <c:pt idx="192">
                  <c:v>1.8070742090096389E-2</c:v>
                </c:pt>
                <c:pt idx="193">
                  <c:v>1.8199150072368584E-2</c:v>
                </c:pt>
                <c:pt idx="194">
                  <c:v>1.8328917965282351E-2</c:v>
                </c:pt>
                <c:pt idx="195">
                  <c:v>1.8459424123561295E-2</c:v>
                </c:pt>
                <c:pt idx="196">
                  <c:v>1.8590054502620725E-2</c:v>
                </c:pt>
                <c:pt idx="197">
                  <c:v>1.8720169098684025E-2</c:v>
                </c:pt>
                <c:pt idx="198">
                  <c:v>1.8849058684511096E-2</c:v>
                </c:pt>
                <c:pt idx="199">
                  <c:v>1.8975901725669184E-2</c:v>
                </c:pt>
                <c:pt idx="200">
                  <c:v>1.9099734704178743E-2</c:v>
                </c:pt>
                <c:pt idx="201">
                  <c:v>1.9219453193948795E-2</c:v>
                </c:pt>
                <c:pt idx="202">
                  <c:v>1.9333862616283691E-2</c:v>
                </c:pt>
                <c:pt idx="203">
                  <c:v>1.9441791265508889E-2</c:v>
                </c:pt>
                <c:pt idx="204">
                  <c:v>1.9542259412815642E-2</c:v>
                </c:pt>
                <c:pt idx="205">
                  <c:v>1.9634670049433558E-2</c:v>
                </c:pt>
                <c:pt idx="206">
                  <c:v>1.9718963602615575E-2</c:v>
                </c:pt>
                <c:pt idx="207">
                  <c:v>1.9795680322527008E-2</c:v>
                </c:pt>
                <c:pt idx="208">
                  <c:v>1.9865906465593317E-2</c:v>
                </c:pt>
                <c:pt idx="209">
                  <c:v>1.9931126217851869E-2</c:v>
                </c:pt>
                <c:pt idx="210">
                  <c:v>1.9993031515299867E-2</c:v>
                </c:pt>
                <c:pt idx="211">
                  <c:v>2.0053341677647527E-2</c:v>
                </c:pt>
                <c:pt idx="212">
                  <c:v>2.0113662775957084E-2</c:v>
                </c:pt>
                <c:pt idx="213">
                  <c:v>2.0175392269564975E-2</c:v>
                </c:pt>
                <c:pt idx="214">
                  <c:v>2.0239660672143316E-2</c:v>
                </c:pt>
                <c:pt idx="215">
                  <c:v>2.0307300321999802E-2</c:v>
                </c:pt>
                <c:pt idx="216">
                  <c:v>2.0378836037328277E-2</c:v>
                </c:pt>
                <c:pt idx="217">
                  <c:v>2.0454496917037567E-2</c:v>
                </c:pt>
                <c:pt idx="218">
                  <c:v>2.0534249159489905E-2</c:v>
                </c:pt>
                <c:pt idx="219">
                  <c:v>2.0617846459263706E-2</c:v>
                </c:pt>
                <c:pt idx="220">
                  <c:v>2.0704890038744185E-2</c:v>
                </c:pt>
                <c:pt idx="221">
                  <c:v>2.0794887558614639E-2</c:v>
                </c:pt>
                <c:pt idx="222">
                  <c:v>2.0887300513372325E-2</c:v>
                </c:pt>
                <c:pt idx="223">
                  <c:v>2.0981572590253277E-2</c:v>
                </c:pt>
                <c:pt idx="224">
                  <c:v>2.1077135259458354E-2</c:v>
                </c:pt>
                <c:pt idx="225">
                  <c:v>2.1173390238366441E-2</c:v>
                </c:pt>
                <c:pt idx="226">
                  <c:v>2.1269671182920186E-2</c:v>
                </c:pt>
                <c:pt idx="227">
                  <c:v>2.1365189942742713E-2</c:v>
                </c:pt>
                <c:pt idx="228">
                  <c:v>2.1458977495269451E-2</c:v>
                </c:pt>
                <c:pt idx="229">
                  <c:v>2.1549837447696858E-2</c:v>
                </c:pt>
                <c:pt idx="230">
                  <c:v>2.1636339930540642E-2</c:v>
                </c:pt>
                <c:pt idx="231">
                  <c:v>2.1716890274331015E-2</c:v>
                </c:pt>
                <c:pt idx="232">
                  <c:v>2.1789898938693649E-2</c:v>
                </c:pt>
                <c:pt idx="233">
                  <c:v>2.1854045504212168E-2</c:v>
                </c:pt>
                <c:pt idx="234">
                  <c:v>2.1908574121511631E-2</c:v>
                </c:pt>
                <c:pt idx="235">
                  <c:v>2.1953512844812163E-2</c:v>
                </c:pt>
                <c:pt idx="236">
                  <c:v>2.1989719248040239E-2</c:v>
                </c:pt>
                <c:pt idx="237">
                  <c:v>2.2018729609858623E-2</c:v>
                </c:pt>
                <c:pt idx="238">
                  <c:v>2.2042479783856952E-2</c:v>
                </c:pt>
                <c:pt idx="239">
                  <c:v>2.2063007899094919E-2</c:v>
                </c:pt>
                <c:pt idx="240">
                  <c:v>2.2082224720328409E-2</c:v>
                </c:pt>
                <c:pt idx="241">
                  <c:v>2.2101781782234761E-2</c:v>
                </c:pt>
                <c:pt idx="242">
                  <c:v>2.2123022566419185E-2</c:v>
                </c:pt>
                <c:pt idx="243">
                  <c:v>2.2146984520157755E-2</c:v>
                </c:pt>
                <c:pt idx="244">
                  <c:v>2.2174423280082955E-2</c:v>
                </c:pt>
                <c:pt idx="245">
                  <c:v>2.2205842200970854E-2</c:v>
                </c:pt>
                <c:pt idx="246">
                  <c:v>2.2241521227364305E-2</c:v>
                </c:pt>
                <c:pt idx="247">
                  <c:v>2.2281545548910764E-2</c:v>
                </c:pt>
                <c:pt idx="248">
                  <c:v>2.2325836147247126E-2</c:v>
                </c:pt>
                <c:pt idx="249">
                  <c:v>2.237418272916818E-2</c:v>
                </c:pt>
                <c:pt idx="250">
                  <c:v>2.2426276640433625E-2</c:v>
                </c:pt>
                <c:pt idx="251">
                  <c:v>2.2481738867382951E-2</c:v>
                </c:pt>
                <c:pt idx="252">
                  <c:v>2.2540137082797264E-2</c:v>
                </c:pt>
                <c:pt idx="253">
                  <c:v>2.2600985967221456E-2</c:v>
                </c:pt>
                <c:pt idx="254">
                  <c:v>2.2663726417387099E-2</c:v>
                </c:pt>
                <c:pt idx="255">
                  <c:v>2.2727681686896591E-2</c:v>
                </c:pt>
                <c:pt idx="256">
                  <c:v>2.2791992736269785E-2</c:v>
                </c:pt>
                <c:pt idx="257">
                  <c:v>2.2855542747424198E-2</c:v>
                </c:pt>
                <c:pt idx="258">
                  <c:v>2.2916893509058223E-2</c:v>
                </c:pt>
                <c:pt idx="259">
                  <c:v>2.2974273081404609E-2</c:v>
                </c:pt>
                <c:pt idx="260">
                  <c:v>2.3025666261812835E-2</c:v>
                </c:pt>
                <c:pt idx="261">
                  <c:v>2.3069048363221788E-2</c:v>
                </c:pt>
                <c:pt idx="262">
                  <c:v>2.3102749611882887E-2</c:v>
                </c:pt>
                <c:pt idx="263">
                  <c:v>2.3125850536797794E-2</c:v>
                </c:pt>
                <c:pt idx="264">
                  <c:v>2.3138445910506015E-2</c:v>
                </c:pt>
                <c:pt idx="265">
                  <c:v>2.314164786878008E-2</c:v>
                </c:pt>
                <c:pt idx="266">
                  <c:v>2.3137327632973263E-2</c:v>
                </c:pt>
                <c:pt idx="267">
                  <c:v>2.312772346651544E-2</c:v>
                </c:pt>
                <c:pt idx="268">
                  <c:v>2.3115075077376132E-2</c:v>
                </c:pt>
                <c:pt idx="269">
                  <c:v>2.3101382820250069E-2</c:v>
                </c:pt>
                <c:pt idx="270">
                  <c:v>2.308830482658222E-2</c:v>
                </c:pt>
                <c:pt idx="271">
                  <c:v>2.3077153055223995E-2</c:v>
                </c:pt>
                <c:pt idx="272">
                  <c:v>2.3068938496953809E-2</c:v>
                </c:pt>
                <c:pt idx="273">
                  <c:v>2.3064428136472127E-2</c:v>
                </c:pt>
                <c:pt idx="274">
                  <c:v>2.3064193655325468E-2</c:v>
                </c:pt>
                <c:pt idx="275">
                  <c:v>2.3068645510174263E-2</c:v>
                </c:pt>
                <c:pt idx="276">
                  <c:v>2.3078054072013434E-2</c:v>
                </c:pt>
                <c:pt idx="277">
                  <c:v>2.3092562813197128E-2</c:v>
                </c:pt>
                <c:pt idx="278">
                  <c:v>2.3112198418499732E-2</c:v>
                </c:pt>
                <c:pt idx="279">
                  <c:v>2.3136880437613971E-2</c:v>
                </c:pt>
                <c:pt idx="280">
                  <c:v>2.316642978496183E-2</c:v>
                </c:pt>
                <c:pt idx="281">
                  <c:v>2.3200572179261365E-2</c:v>
                </c:pt>
                <c:pt idx="282">
                  <c:v>2.3238930338933619E-2</c:v>
                </c:pt>
                <c:pt idx="283">
                  <c:v>2.3280998073996657E-2</c:v>
                </c:pt>
                <c:pt idx="284">
                  <c:v>2.3326091010147591E-2</c:v>
                </c:pt>
                <c:pt idx="285">
                  <c:v>2.3373273667486094E-2</c:v>
                </c:pt>
                <c:pt idx="286">
                  <c:v>2.3421272976325132E-2</c:v>
                </c:pt>
                <c:pt idx="287">
                  <c:v>2.3468405606526473E-2</c:v>
                </c:pt>
                <c:pt idx="288">
                  <c:v>2.3512568605420857E-2</c:v>
                </c:pt>
                <c:pt idx="289">
                  <c:v>2.3551357380690641E-2</c:v>
                </c:pt>
                <c:pt idx="290">
                  <c:v>2.3582357368047528E-2</c:v>
                </c:pt>
                <c:pt idx="291">
                  <c:v>2.3603583724971927E-2</c:v>
                </c:pt>
                <c:pt idx="292">
                  <c:v>2.3613935998530212E-2</c:v>
                </c:pt>
                <c:pt idx="293">
                  <c:v>2.3613471862960363E-2</c:v>
                </c:pt>
                <c:pt idx="294">
                  <c:v>2.3603366589054812E-2</c:v>
                </c:pt>
                <c:pt idx="295">
                  <c:v>2.3585588338270656E-2</c:v>
                </c:pt>
                <c:pt idx="296">
                  <c:v>2.3562454876814975E-2</c:v>
                </c:pt>
                <c:pt idx="297">
                  <c:v>2.3536249087618449E-2</c:v>
                </c:pt>
                <c:pt idx="298">
                  <c:v>2.3508985675702941E-2</c:v>
                </c:pt>
                <c:pt idx="299">
                  <c:v>2.3482327992439371E-2</c:v>
                </c:pt>
                <c:pt idx="300">
                  <c:v>2.345760535939646E-2</c:v>
                </c:pt>
                <c:pt idx="301">
                  <c:v>2.343587652185555E-2</c:v>
                </c:pt>
                <c:pt idx="302">
                  <c:v>2.3418000477321996E-2</c:v>
                </c:pt>
                <c:pt idx="303">
                  <c:v>2.3404693908318314E-2</c:v>
                </c:pt>
                <c:pt idx="304">
                  <c:v>2.339656759486999E-2</c:v>
                </c:pt>
                <c:pt idx="305">
                  <c:v>2.3394142075483088E-2</c:v>
                </c:pt>
                <c:pt idx="306">
                  <c:v>2.3397846989827404E-2</c:v>
                </c:pt>
                <c:pt idx="307">
                  <c:v>2.340801015341985E-2</c:v>
                </c:pt>
                <c:pt idx="308">
                  <c:v>2.3424842035763702E-2</c:v>
                </c:pt>
                <c:pt idx="309">
                  <c:v>2.3448419120277276E-2</c:v>
                </c:pt>
                <c:pt idx="310">
                  <c:v>2.3478666111475401E-2</c:v>
                </c:pt>
                <c:pt idx="311">
                  <c:v>2.3515333070594453E-2</c:v>
                </c:pt>
                <c:pt idx="312">
                  <c:v>2.3557960816680882E-2</c:v>
                </c:pt>
                <c:pt idx="313">
                  <c:v>2.3605828083297861E-2</c:v>
                </c:pt>
                <c:pt idx="314">
                  <c:v>2.365787904990314E-2</c:v>
                </c:pt>
                <c:pt idx="315">
                  <c:v>2.3712641975096257E-2</c:v>
                </c:pt>
                <c:pt idx="316">
                  <c:v>2.376816940072159E-2</c:v>
                </c:pt>
                <c:pt idx="317">
                  <c:v>2.3822053071961967E-2</c:v>
                </c:pt>
                <c:pt idx="318">
                  <c:v>2.3871577015178076E-2</c:v>
                </c:pt>
                <c:pt idx="319">
                  <c:v>2.3914045102591312E-2</c:v>
                </c:pt>
                <c:pt idx="320">
                  <c:v>2.394724009273743E-2</c:v>
                </c:pt>
                <c:pt idx="321">
                  <c:v>2.3969869996877408E-2</c:v>
                </c:pt>
                <c:pt idx="322">
                  <c:v>2.3981815468639239E-2</c:v>
                </c:pt>
                <c:pt idx="323">
                  <c:v>2.3984069812404148E-2</c:v>
                </c:pt>
                <c:pt idx="324">
                  <c:v>2.3978418320822325E-2</c:v>
                </c:pt>
                <c:pt idx="325">
                  <c:v>2.3967016740653213E-2</c:v>
                </c:pt>
                <c:pt idx="326">
                  <c:v>2.3952028686417114E-2</c:v>
                </c:pt>
                <c:pt idx="327">
                  <c:v>2.3935402984045655E-2</c:v>
                </c:pt>
                <c:pt idx="328">
                  <c:v>2.3918790326014638E-2</c:v>
                </c:pt>
                <c:pt idx="329">
                  <c:v>2.3903556338398996E-2</c:v>
                </c:pt>
                <c:pt idx="330">
                  <c:v>2.3890842796530348E-2</c:v>
                </c:pt>
                <c:pt idx="331">
                  <c:v>2.3881640740237835E-2</c:v>
                </c:pt>
                <c:pt idx="332">
                  <c:v>2.3876853566021389E-2</c:v>
                </c:pt>
                <c:pt idx="333">
                  <c:v>2.3877338819781688E-2</c:v>
                </c:pt>
                <c:pt idx="334">
                  <c:v>2.3883924102633687E-2</c:v>
                </c:pt>
                <c:pt idx="335">
                  <c:v>2.3897396938631684E-2</c:v>
                </c:pt>
                <c:pt idx="336">
                  <c:v>2.3918472019437701E-2</c:v>
                </c:pt>
                <c:pt idx="337">
                  <c:v>2.3947742255750804E-2</c:v>
                </c:pt>
                <c:pt idx="338">
                  <c:v>2.3985621778859961E-2</c:v>
                </c:pt>
                <c:pt idx="339">
                  <c:v>2.4032288382738302E-2</c:v>
                </c:pt>
                <c:pt idx="340">
                  <c:v>2.4087629599975464E-2</c:v>
                </c:pt>
                <c:pt idx="341">
                  <c:v>2.4151192045379275E-2</c:v>
                </c:pt>
                <c:pt idx="342">
                  <c:v>2.4222130836093984E-2</c:v>
                </c:pt>
                <c:pt idx="343">
                  <c:v>2.4299158388853007E-2</c:v>
                </c:pt>
                <c:pt idx="344">
                  <c:v>2.438050210948723E-2</c:v>
                </c:pt>
                <c:pt idx="345">
                  <c:v>2.4463897397911896E-2</c:v>
                </c:pt>
                <c:pt idx="346">
                  <c:v>2.4546658783859629E-2</c:v>
                </c:pt>
                <c:pt idx="347">
                  <c:v>2.4625873011674931E-2</c:v>
                </c:pt>
                <c:pt idx="348">
                  <c:v>2.4698726480950131E-2</c:v>
                </c:pt>
                <c:pt idx="349">
                  <c:v>2.4762913637755485E-2</c:v>
                </c:pt>
                <c:pt idx="350">
                  <c:v>2.4817004587885029E-2</c:v>
                </c:pt>
                <c:pt idx="351">
                  <c:v>2.4860635258744986E-2</c:v>
                </c:pt>
                <c:pt idx="352">
                  <c:v>2.4894451138918049E-2</c:v>
                </c:pt>
                <c:pt idx="353">
                  <c:v>2.4919846814005012E-2</c:v>
                </c:pt>
                <c:pt idx="354">
                  <c:v>2.4938620692174601E-2</c:v>
                </c:pt>
                <c:pt idx="355">
                  <c:v>2.4952665533529615E-2</c:v>
                </c:pt>
                <c:pt idx="356">
                  <c:v>2.4963762721790041E-2</c:v>
                </c:pt>
                <c:pt idx="357">
                  <c:v>2.4973489632242111E-2</c:v>
                </c:pt>
                <c:pt idx="358">
                  <c:v>2.4983214524859489E-2</c:v>
                </c:pt>
                <c:pt idx="359">
                  <c:v>2.4994143927252608E-2</c:v>
                </c:pt>
                <c:pt idx="360">
                  <c:v>2.5007392183474333E-2</c:v>
                </c:pt>
                <c:pt idx="361">
                  <c:v>2.5024050978717786E-2</c:v>
                </c:pt>
                <c:pt idx="362">
                  <c:v>2.5045242921149128E-2</c:v>
                </c:pt>
                <c:pt idx="363">
                  <c:v>2.5072146857170251E-2</c:v>
                </c:pt>
                <c:pt idx="364">
                  <c:v>2.5105985281070123E-2</c:v>
                </c:pt>
                <c:pt idx="365">
                  <c:v>2.5147968455608492E-2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3D-4C28-B815-4FC73864F8EF}"/>
            </c:ext>
          </c:extLst>
        </c:ser>
        <c:ser>
          <c:idx val="3"/>
          <c:order val="3"/>
          <c:tx>
            <c:strRef>
              <c:f>horizons_error_log2!$Z$1</c:f>
              <c:strCache>
                <c:ptCount val="1"/>
                <c:pt idx="0">
                  <c:v>Mars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horizons_error_log2!$V$2:$V$367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horizons_error_log2!$Z$2:$Z$367</c:f>
              <c:numCache>
                <c:formatCode>General</c:formatCode>
                <c:ptCount val="366"/>
                <c:pt idx="0">
                  <c:v>0</c:v>
                </c:pt>
                <c:pt idx="1">
                  <c:v>1.2282795178531858E-7</c:v>
                </c:pt>
                <c:pt idx="2">
                  <c:v>4.9218544225421338E-7</c:v>
                </c:pt>
                <c:pt idx="3">
                  <c:v>1.107251444955112E-6</c:v>
                </c:pt>
                <c:pt idx="4">
                  <c:v>1.9672087598185058E-6</c:v>
                </c:pt>
                <c:pt idx="5">
                  <c:v>3.0712804013486799E-6</c:v>
                </c:pt>
                <c:pt idx="6">
                  <c:v>4.4187363696537653E-6</c:v>
                </c:pt>
                <c:pt idx="7">
                  <c:v>6.0088541165143355E-6</c:v>
                </c:pt>
                <c:pt idx="8">
                  <c:v>7.8408919262868082E-6</c:v>
                </c:pt>
                <c:pt idx="9">
                  <c:v>9.9141302337050579E-6</c:v>
                </c:pt>
                <c:pt idx="10">
                  <c:v>1.2227948324780516E-5</c:v>
                </c:pt>
                <c:pt idx="11">
                  <c:v>1.4781818047186066E-5</c:v>
                </c:pt>
                <c:pt idx="12">
                  <c:v>1.7575220940069585E-5</c:v>
                </c:pt>
                <c:pt idx="13">
                  <c:v>2.0607587249541734E-5</c:v>
                </c:pt>
                <c:pt idx="14">
                  <c:v>2.3878332864162175E-5</c:v>
                </c:pt>
                <c:pt idx="15">
                  <c:v>2.7386931964242793E-5</c:v>
                </c:pt>
                <c:pt idx="16">
                  <c:v>3.1132936462705537E-5</c:v>
                </c:pt>
                <c:pt idx="17">
                  <c:v>3.5115926550676561E-5</c:v>
                </c:pt>
                <c:pt idx="18">
                  <c:v>3.9335485063923485E-5</c:v>
                </c:pt>
                <c:pt idx="19">
                  <c:v>4.3791230930844415E-5</c:v>
                </c:pt>
                <c:pt idx="20">
                  <c:v>4.8482831375993901E-5</c:v>
                </c:pt>
                <c:pt idx="21">
                  <c:v>5.3409971081829325E-5</c:v>
                </c:pt>
                <c:pt idx="22">
                  <c:v>5.8572306619437923E-5</c:v>
                </c:pt>
                <c:pt idx="23">
                  <c:v>6.3969475417530305E-5</c:v>
                </c:pt>
                <c:pt idx="24">
                  <c:v>6.9601175388882156E-5</c:v>
                </c:pt>
                <c:pt idx="25">
                  <c:v>7.5467208377826429E-5</c:v>
                </c:pt>
                <c:pt idx="26">
                  <c:v>8.1567429652073929E-5</c:v>
                </c:pt>
                <c:pt idx="27">
                  <c:v>8.7901659854319308E-5</c:v>
                </c:pt>
                <c:pt idx="28">
                  <c:v>9.4469672726150305E-5</c:v>
                </c:pt>
                <c:pt idx="29">
                  <c:v>1.012712644009033E-4</c:v>
                </c:pt>
                <c:pt idx="30">
                  <c:v>1.083062932125164E-4</c:v>
                </c:pt>
                <c:pt idx="31">
                  <c:v>1.1557465534157227E-4</c:v>
                </c:pt>
                <c:pt idx="32">
                  <c:v>1.2307624667539773E-4</c:v>
                </c:pt>
                <c:pt idx="33">
                  <c:v>1.3081098367041859E-4</c:v>
                </c:pt>
                <c:pt idx="34">
                  <c:v>1.3877883700843326E-4</c:v>
                </c:pt>
                <c:pt idx="35">
                  <c:v>1.4697981300073817E-4</c:v>
                </c:pt>
                <c:pt idx="36">
                  <c:v>1.5541389269278617E-4</c:v>
                </c:pt>
                <c:pt idx="37">
                  <c:v>1.6408100811792601E-4</c:v>
                </c:pt>
                <c:pt idx="38">
                  <c:v>1.7298110581774495E-4</c:v>
                </c:pt>
                <c:pt idx="39">
                  <c:v>1.8211421840109673E-4</c:v>
                </c:pt>
                <c:pt idx="40">
                  <c:v>1.9148046145964432E-4</c:v>
                </c:pt>
                <c:pt idx="41">
                  <c:v>2.010799515094833E-4</c:v>
                </c:pt>
                <c:pt idx="42">
                  <c:v>2.1091275575708186E-4</c:v>
                </c:pt>
                <c:pt idx="43">
                  <c:v>2.209789237876476E-4</c:v>
                </c:pt>
                <c:pt idx="44">
                  <c:v>2.3127854744678193E-4</c:v>
                </c:pt>
                <c:pt idx="45">
                  <c:v>2.4181175604744587E-4</c:v>
                </c:pt>
                <c:pt idx="46">
                  <c:v>2.5257868101371281E-4</c:v>
                </c:pt>
                <c:pt idx="47">
                  <c:v>2.6357945157638962E-4</c:v>
                </c:pt>
                <c:pt idx="48">
                  <c:v>2.7481424643877153E-4</c:v>
                </c:pt>
                <c:pt idx="49">
                  <c:v>2.8628330192108261E-4</c:v>
                </c:pt>
                <c:pt idx="50">
                  <c:v>2.9798685093986678E-4</c:v>
                </c:pt>
                <c:pt idx="51">
                  <c:v>3.0992506389013137E-4</c:v>
                </c:pt>
                <c:pt idx="52">
                  <c:v>3.2209808176364755E-4</c:v>
                </c:pt>
                <c:pt idx="53">
                  <c:v>3.3450609324721657E-4</c:v>
                </c:pt>
                <c:pt idx="54">
                  <c:v>3.47149375639212E-4</c:v>
                </c:pt>
                <c:pt idx="55">
                  <c:v>3.6002824653768716E-4</c:v>
                </c:pt>
                <c:pt idx="56">
                  <c:v>3.7314299110767165E-4</c:v>
                </c:pt>
                <c:pt idx="57">
                  <c:v>3.8649385774635112E-4</c:v>
                </c:pt>
                <c:pt idx="58">
                  <c:v>4.0008110627074822E-4</c:v>
                </c:pt>
                <c:pt idx="59">
                  <c:v>4.1390503408143017E-4</c:v>
                </c:pt>
                <c:pt idx="60">
                  <c:v>4.2796594037965542E-4</c:v>
                </c:pt>
                <c:pt idx="61">
                  <c:v>4.4226410448221064E-4</c:v>
                </c:pt>
                <c:pt idx="62">
                  <c:v>4.5679983340286259E-4</c:v>
                </c:pt>
                <c:pt idx="63">
                  <c:v>4.7157350408627731E-4</c:v>
                </c:pt>
                <c:pt idx="64">
                  <c:v>4.8658552509124505E-4</c:v>
                </c:pt>
                <c:pt idx="65">
                  <c:v>5.0183625563640405E-4</c:v>
                </c:pt>
                <c:pt idx="66">
                  <c:v>5.1732598720618075E-4</c:v>
                </c:pt>
                <c:pt idx="67">
                  <c:v>5.3305501640038794E-4</c:v>
                </c:pt>
                <c:pt idx="68">
                  <c:v>5.4902371501897886E-4</c:v>
                </c:pt>
                <c:pt idx="69">
                  <c:v>5.6523251318402884E-4</c:v>
                </c:pt>
                <c:pt idx="70">
                  <c:v>5.816818393203925E-4</c:v>
                </c:pt>
                <c:pt idx="71">
                  <c:v>5.9837208324866741E-4</c:v>
                </c:pt>
                <c:pt idx="72">
                  <c:v>6.1530362878621633E-4</c:v>
                </c:pt>
                <c:pt idx="73">
                  <c:v>6.3247688463453726E-4</c:v>
                </c:pt>
                <c:pt idx="74">
                  <c:v>6.4989226602413957E-4</c:v>
                </c:pt>
                <c:pt idx="75">
                  <c:v>6.6755015761542586E-4</c:v>
                </c:pt>
                <c:pt idx="76">
                  <c:v>6.8545094200581254E-4</c:v>
                </c:pt>
                <c:pt idx="77">
                  <c:v>7.0359506130023898E-4</c:v>
                </c:pt>
                <c:pt idx="78">
                  <c:v>7.2198302295827367E-4</c:v>
                </c:pt>
                <c:pt idx="79">
                  <c:v>7.4061532154543353E-4</c:v>
                </c:pt>
                <c:pt idx="80">
                  <c:v>7.5949237503687868E-4</c:v>
                </c:pt>
                <c:pt idx="81">
                  <c:v>7.7861455767435815E-4</c:v>
                </c:pt>
                <c:pt idx="82">
                  <c:v>7.9798228572739458E-4</c:v>
                </c:pt>
                <c:pt idx="83">
                  <c:v>8.1759604385863176E-4</c:v>
                </c:pt>
                <c:pt idx="84">
                  <c:v>8.3745633639616417E-4</c:v>
                </c:pt>
                <c:pt idx="85">
                  <c:v>8.5756364401294528E-4</c:v>
                </c:pt>
                <c:pt idx="86">
                  <c:v>8.7791842923017798E-4</c:v>
                </c:pt>
                <c:pt idx="87">
                  <c:v>8.9852117594418023E-4</c:v>
                </c:pt>
                <c:pt idx="88">
                  <c:v>9.1937237447227589E-4</c:v>
                </c:pt>
                <c:pt idx="89">
                  <c:v>9.4047248474016004E-4</c:v>
                </c:pt>
                <c:pt idx="90">
                  <c:v>9.6182193495382266E-4</c:v>
                </c:pt>
                <c:pt idx="91">
                  <c:v>9.8342118492026004E-4</c:v>
                </c:pt>
                <c:pt idx="92">
                  <c:v>1.0052707723337605E-3</c:v>
                </c:pt>
                <c:pt idx="93">
                  <c:v>1.0273712705358648E-3</c:v>
                </c:pt>
                <c:pt idx="94">
                  <c:v>1.0497231937245074E-3</c:v>
                </c:pt>
                <c:pt idx="95">
                  <c:v>1.072326983823231E-3</c:v>
                </c:pt>
                <c:pt idx="96">
                  <c:v>1.0951830801244481E-3</c:v>
                </c:pt>
                <c:pt idx="97">
                  <c:v>1.1182919805945337E-3</c:v>
                </c:pt>
                <c:pt idx="98">
                  <c:v>1.1416542191848779E-3</c:v>
                </c:pt>
                <c:pt idx="99">
                  <c:v>1.1652703186195647E-3</c:v>
                </c:pt>
                <c:pt idx="100">
                  <c:v>1.1891407850347473E-3</c:v>
                </c:pt>
                <c:pt idx="101">
                  <c:v>1.2132661385186175E-3</c:v>
                </c:pt>
                <c:pt idx="102">
                  <c:v>1.2376469199814686E-3</c:v>
                </c:pt>
                <c:pt idx="103">
                  <c:v>1.2622836420941056E-3</c:v>
                </c:pt>
                <c:pt idx="104">
                  <c:v>1.2871767659387149E-3</c:v>
                </c:pt>
                <c:pt idx="105">
                  <c:v>1.3123267472896667E-3</c:v>
                </c:pt>
                <c:pt idx="106">
                  <c:v>1.3377341089743295E-3</c:v>
                </c:pt>
                <c:pt idx="107">
                  <c:v>1.3633994421889651E-3</c:v>
                </c:pt>
                <c:pt idx="108">
                  <c:v>1.389323323878124E-3</c:v>
                </c:pt>
                <c:pt idx="109">
                  <c:v>1.4155062559709224E-3</c:v>
                </c:pt>
                <c:pt idx="110">
                  <c:v>1.4419486959055513E-3</c:v>
                </c:pt>
                <c:pt idx="111">
                  <c:v>1.4686511348256683E-3</c:v>
                </c:pt>
                <c:pt idx="112">
                  <c:v>1.495614107005725E-3</c:v>
                </c:pt>
                <c:pt idx="113">
                  <c:v>1.5228381470369279E-3</c:v>
                </c:pt>
                <c:pt idx="114">
                  <c:v>1.550323769404238E-3</c:v>
                </c:pt>
                <c:pt idx="115">
                  <c:v>1.578071502768805E-3</c:v>
                </c:pt>
                <c:pt idx="116">
                  <c:v>1.6060819080409789E-3</c:v>
                </c:pt>
                <c:pt idx="117">
                  <c:v>1.634355537687056E-3</c:v>
                </c:pt>
                <c:pt idx="118">
                  <c:v>1.662892882802166E-3</c:v>
                </c:pt>
                <c:pt idx="119">
                  <c:v>1.6916943934427019E-3</c:v>
                </c:pt>
                <c:pt idx="120">
                  <c:v>1.7207605551531552E-3</c:v>
                </c:pt>
                <c:pt idx="121">
                  <c:v>1.750091933862474E-3</c:v>
                </c:pt>
                <c:pt idx="122">
                  <c:v>1.779689126299752E-3</c:v>
                </c:pt>
                <c:pt idx="123">
                  <c:v>1.8095526786280692E-3</c:v>
                </c:pt>
                <c:pt idx="124">
                  <c:v>1.8396830738036207E-3</c:v>
                </c:pt>
                <c:pt idx="125">
                  <c:v>1.8700807916625043E-3</c:v>
                </c:pt>
                <c:pt idx="126">
                  <c:v>1.9007463508020604E-3</c:v>
                </c:pt>
                <c:pt idx="127">
                  <c:v>1.9316802806653131E-3</c:v>
                </c:pt>
                <c:pt idx="128">
                  <c:v>1.9628830881092624E-3</c:v>
                </c:pt>
                <c:pt idx="129">
                  <c:v>1.9943552832882134E-3</c:v>
                </c:pt>
                <c:pt idx="130">
                  <c:v>2.0260974202926129E-3</c:v>
                </c:pt>
                <c:pt idx="131">
                  <c:v>2.0581100734136746E-3</c:v>
                </c:pt>
                <c:pt idx="132">
                  <c:v>2.090393766798742E-3</c:v>
                </c:pt>
                <c:pt idx="133">
                  <c:v>2.1229489552809944E-3</c:v>
                </c:pt>
                <c:pt idx="134">
                  <c:v>2.1557760883954627E-3</c:v>
                </c:pt>
                <c:pt idx="135">
                  <c:v>2.1888756832206357E-3</c:v>
                </c:pt>
                <c:pt idx="136">
                  <c:v>2.222248319665688E-3</c:v>
                </c:pt>
                <c:pt idx="137">
                  <c:v>2.2558945639515786E-3</c:v>
                </c:pt>
                <c:pt idx="138">
                  <c:v>2.2898149242879784E-3</c:v>
                </c:pt>
                <c:pt idx="139">
                  <c:v>2.3240098799992281E-3</c:v>
                </c:pt>
                <c:pt idx="140">
                  <c:v>2.3584799320739078E-3</c:v>
                </c:pt>
                <c:pt idx="141">
                  <c:v>2.3932255984697778E-3</c:v>
                </c:pt>
                <c:pt idx="142">
                  <c:v>2.4282473751670729E-3</c:v>
                </c:pt>
                <c:pt idx="143">
                  <c:v>2.46354574459243E-3</c:v>
                </c:pt>
                <c:pt idx="144">
                  <c:v>2.4991212294505163E-3</c:v>
                </c:pt>
                <c:pt idx="145">
                  <c:v>2.5349744033019502E-3</c:v>
                </c:pt>
                <c:pt idx="146">
                  <c:v>2.5711058219840617E-3</c:v>
                </c:pt>
                <c:pt idx="147">
                  <c:v>2.6075159636850895E-3</c:v>
                </c:pt>
                <c:pt idx="148">
                  <c:v>2.6442052578036094E-3</c:v>
                </c:pt>
                <c:pt idx="149">
                  <c:v>2.6811741731109337E-3</c:v>
                </c:pt>
                <c:pt idx="150">
                  <c:v>2.7184232492542841E-3</c:v>
                </c:pt>
                <c:pt idx="151">
                  <c:v>2.7559530487018574E-3</c:v>
                </c:pt>
                <c:pt idx="152">
                  <c:v>2.7937640956399662E-3</c:v>
                </c:pt>
                <c:pt idx="153">
                  <c:v>2.8318568777836038E-3</c:v>
                </c:pt>
                <c:pt idx="154">
                  <c:v>2.8702318876097197E-3</c:v>
                </c:pt>
                <c:pt idx="155">
                  <c:v>2.9088896349292737E-3</c:v>
                </c:pt>
                <c:pt idx="156">
                  <c:v>2.9478306103708049E-3</c:v>
                </c:pt>
                <c:pt idx="157">
                  <c:v>2.9870552746312038E-3</c:v>
                </c:pt>
                <c:pt idx="158">
                  <c:v>3.0265641088101382E-3</c:v>
                </c:pt>
                <c:pt idx="159">
                  <c:v>3.0663576598106896E-3</c:v>
                </c:pt>
                <c:pt idx="160">
                  <c:v>3.1064365022299882E-3</c:v>
                </c:pt>
                <c:pt idx="161">
                  <c:v>3.146801150718464E-3</c:v>
                </c:pt>
                <c:pt idx="162">
                  <c:v>3.1874520438127788E-3</c:v>
                </c:pt>
                <c:pt idx="163">
                  <c:v>3.2283896137371747E-3</c:v>
                </c:pt>
                <c:pt idx="164">
                  <c:v>3.2696143561619963E-3</c:v>
                </c:pt>
                <c:pt idx="165">
                  <c:v>3.3111268123108563E-3</c:v>
                </c:pt>
                <c:pt idx="166">
                  <c:v>3.3529275097797539E-3</c:v>
                </c:pt>
                <c:pt idx="167">
                  <c:v>3.395016943864316E-3</c:v>
                </c:pt>
                <c:pt idx="168">
                  <c:v>3.437395607962006E-3</c:v>
                </c:pt>
                <c:pt idx="169">
                  <c:v>3.4800640117010799E-3</c:v>
                </c:pt>
                <c:pt idx="170">
                  <c:v>3.5230226516702809E-3</c:v>
                </c:pt>
                <c:pt idx="171">
                  <c:v>3.5662719811301266E-3</c:v>
                </c:pt>
                <c:pt idx="172">
                  <c:v>3.6098124469244887E-3</c:v>
                </c:pt>
                <c:pt idx="173">
                  <c:v>3.6536445533830631E-3</c:v>
                </c:pt>
                <c:pt idx="174">
                  <c:v>3.6977688680673877E-3</c:v>
                </c:pt>
                <c:pt idx="175">
                  <c:v>3.7421859438605703E-3</c:v>
                </c:pt>
                <c:pt idx="176">
                  <c:v>3.7868962519144009E-3</c:v>
                </c:pt>
                <c:pt idx="177">
                  <c:v>3.83190021677361E-3</c:v>
                </c:pt>
                <c:pt idx="178">
                  <c:v>3.8771982980436541E-3</c:v>
                </c:pt>
                <c:pt idx="179">
                  <c:v>3.9227910101950871E-3</c:v>
                </c:pt>
                <c:pt idx="180">
                  <c:v>3.9686788754498305E-3</c:v>
                </c:pt>
                <c:pt idx="181">
                  <c:v>4.0148623913565393E-3</c:v>
                </c:pt>
                <c:pt idx="182">
                  <c:v>4.0613420519731974E-3</c:v>
                </c:pt>
                <c:pt idx="183">
                  <c:v>4.1081183746175011E-3</c:v>
                </c:pt>
                <c:pt idx="184">
                  <c:v>4.1551918747936185E-3</c:v>
                </c:pt>
                <c:pt idx="185">
                  <c:v>4.2025630198456862E-3</c:v>
                </c:pt>
                <c:pt idx="186">
                  <c:v>4.2502322392942377E-3</c:v>
                </c:pt>
                <c:pt idx="187">
                  <c:v>4.2981999967558766E-3</c:v>
                </c:pt>
                <c:pt idx="188">
                  <c:v>4.3464668328369845E-3</c:v>
                </c:pt>
                <c:pt idx="189">
                  <c:v>4.3950333189786504E-3</c:v>
                </c:pt>
                <c:pt idx="190">
                  <c:v>4.4438999729471068E-3</c:v>
                </c:pt>
                <c:pt idx="191">
                  <c:v>4.4930672425794677E-3</c:v>
                </c:pt>
                <c:pt idx="192">
                  <c:v>4.5425355731489123E-3</c:v>
                </c:pt>
                <c:pt idx="193">
                  <c:v>4.5923054571075797E-3</c:v>
                </c:pt>
                <c:pt idx="194">
                  <c:v>4.6423774110609479E-3</c:v>
                </c:pt>
                <c:pt idx="195">
                  <c:v>4.6927519321836794E-3</c:v>
                </c:pt>
                <c:pt idx="196">
                  <c:v>4.7434295122684555E-3</c:v>
                </c:pt>
                <c:pt idx="197">
                  <c:v>4.794410674971359E-3</c:v>
                </c:pt>
                <c:pt idx="198">
                  <c:v>4.8456959614189016E-3</c:v>
                </c:pt>
                <c:pt idx="199">
                  <c:v>4.8972858740343453E-3</c:v>
                </c:pt>
                <c:pt idx="200">
                  <c:v>4.9491808541676308E-3</c:v>
                </c:pt>
                <c:pt idx="201">
                  <c:v>5.0013813398015004E-3</c:v>
                </c:pt>
                <c:pt idx="202">
                  <c:v>5.0538878366458411E-3</c:v>
                </c:pt>
                <c:pt idx="203">
                  <c:v>5.106700915229326E-3</c:v>
                </c:pt>
                <c:pt idx="204">
                  <c:v>5.1598211328909909E-3</c:v>
                </c:pt>
                <c:pt idx="205">
                  <c:v>5.2132489817023871E-3</c:v>
                </c:pt>
                <c:pt idx="206">
                  <c:v>5.266984921866974E-3</c:v>
                </c:pt>
                <c:pt idx="207">
                  <c:v>5.3210294385735539E-3</c:v>
                </c:pt>
                <c:pt idx="208">
                  <c:v>5.375383047957984E-3</c:v>
                </c:pt>
                <c:pt idx="209">
                  <c:v>5.4300462540239408E-3</c:v>
                </c:pt>
                <c:pt idx="210">
                  <c:v>5.4850195465697676E-3</c:v>
                </c:pt>
                <c:pt idx="211">
                  <c:v>5.5403034463201075E-3</c:v>
                </c:pt>
                <c:pt idx="212">
                  <c:v>5.5958985177959678E-3</c:v>
                </c:pt>
                <c:pt idx="213">
                  <c:v>5.651805312374995E-3</c:v>
                </c:pt>
                <c:pt idx="214">
                  <c:v>5.7080243116684297E-3</c:v>
                </c:pt>
                <c:pt idx="215">
                  <c:v>5.7645559549245494E-3</c:v>
                </c:pt>
                <c:pt idx="216">
                  <c:v>5.8214007225364751E-3</c:v>
                </c:pt>
                <c:pt idx="217">
                  <c:v>5.8785591694137558E-3</c:v>
                </c:pt>
                <c:pt idx="218">
                  <c:v>5.9360318762810187E-3</c:v>
                </c:pt>
                <c:pt idx="219">
                  <c:v>5.9938193832100393E-3</c:v>
                </c:pt>
                <c:pt idx="220">
                  <c:v>6.0519221878524276E-3</c:v>
                </c:pt>
                <c:pt idx="221">
                  <c:v>6.1103407903732344E-3</c:v>
                </c:pt>
                <c:pt idx="222">
                  <c:v>6.169075718029618E-3</c:v>
                </c:pt>
                <c:pt idx="223">
                  <c:v>6.2281274913990239E-3</c:v>
                </c:pt>
                <c:pt idx="224">
                  <c:v>6.2874966073761876E-3</c:v>
                </c:pt>
                <c:pt idx="225">
                  <c:v>6.347183578819064E-3</c:v>
                </c:pt>
                <c:pt idx="226">
                  <c:v>6.4071889793989563E-3</c:v>
                </c:pt>
                <c:pt idx="227">
                  <c:v>6.467513407148677E-3</c:v>
                </c:pt>
                <c:pt idx="228">
                  <c:v>6.5281574065458895E-3</c:v>
                </c:pt>
                <c:pt idx="229">
                  <c:v>6.5891214499813142E-3</c:v>
                </c:pt>
                <c:pt idx="230">
                  <c:v>6.6504060100387556E-3</c:v>
                </c:pt>
                <c:pt idx="231">
                  <c:v>6.7120116258005593E-3</c:v>
                </c:pt>
                <c:pt idx="232">
                  <c:v>6.7739388863897769E-3</c:v>
                </c:pt>
                <c:pt idx="233">
                  <c:v>6.836188370359278E-3</c:v>
                </c:pt>
                <c:pt idx="234">
                  <c:v>6.8987606166834225E-3</c:v>
                </c:pt>
                <c:pt idx="235">
                  <c:v>6.9616561591759997E-3</c:v>
                </c:pt>
                <c:pt idx="236">
                  <c:v>7.0248755507761303E-3</c:v>
                </c:pt>
                <c:pt idx="237">
                  <c:v>7.0884193419363719E-3</c:v>
                </c:pt>
                <c:pt idx="238">
                  <c:v>7.1522880498098599E-3</c:v>
                </c:pt>
                <c:pt idx="239">
                  <c:v>7.2164821853067072E-3</c:v>
                </c:pt>
                <c:pt idx="240">
                  <c:v>7.2810023151689282E-3</c:v>
                </c:pt>
                <c:pt idx="241">
                  <c:v>7.3458490658851426E-3</c:v>
                </c:pt>
                <c:pt idx="242">
                  <c:v>7.4110230474132696E-3</c:v>
                </c:pt>
                <c:pt idx="243">
                  <c:v>7.4765247931481314E-3</c:v>
                </c:pt>
                <c:pt idx="244">
                  <c:v>7.5423547941260247E-3</c:v>
                </c:pt>
                <c:pt idx="245">
                  <c:v>7.6085135821036317E-3</c:v>
                </c:pt>
                <c:pt idx="246">
                  <c:v>7.6750017471336951E-3</c:v>
                </c:pt>
                <c:pt idx="247">
                  <c:v>7.7418198905307408E-3</c:v>
                </c:pt>
                <c:pt idx="248">
                  <c:v>7.8089685881778366E-3</c:v>
                </c:pt>
                <c:pt idx="249">
                  <c:v>7.8764484081873618E-3</c:v>
                </c:pt>
                <c:pt idx="250">
                  <c:v>7.9442599380069069E-3</c:v>
                </c:pt>
                <c:pt idx="251">
                  <c:v>8.0124037676818846E-3</c:v>
                </c:pt>
                <c:pt idx="252">
                  <c:v>8.0808804502631257E-3</c:v>
                </c:pt>
                <c:pt idx="253">
                  <c:v>8.1496905065493539E-3</c:v>
                </c:pt>
                <c:pt idx="254">
                  <c:v>8.2188344891632268E-3</c:v>
                </c:pt>
                <c:pt idx="255">
                  <c:v>8.2883130274727344E-3</c:v>
                </c:pt>
                <c:pt idx="256">
                  <c:v>8.3581267777883203E-3</c:v>
                </c:pt>
                <c:pt idx="257">
                  <c:v>8.4282763429073346E-3</c:v>
                </c:pt>
                <c:pt idx="258">
                  <c:v>8.4987622575019815E-3</c:v>
                </c:pt>
                <c:pt idx="259">
                  <c:v>8.5695850574415838E-3</c:v>
                </c:pt>
                <c:pt idx="260">
                  <c:v>8.6407453307703747E-3</c:v>
                </c:pt>
                <c:pt idx="261">
                  <c:v>8.7122436928546571E-3</c:v>
                </c:pt>
                <c:pt idx="262">
                  <c:v>8.7840807394629784E-3</c:v>
                </c:pt>
                <c:pt idx="263">
                  <c:v>8.8562570591411306E-3</c:v>
                </c:pt>
                <c:pt idx="264">
                  <c:v>8.928773266377794E-3</c:v>
                </c:pt>
                <c:pt idx="265">
                  <c:v>9.0016299928193464E-3</c:v>
                </c:pt>
                <c:pt idx="266">
                  <c:v>9.0748278361344158E-3</c:v>
                </c:pt>
                <c:pt idx="267">
                  <c:v>9.148367337165118E-3</c:v>
                </c:pt>
                <c:pt idx="268">
                  <c:v>9.2222490375810113E-3</c:v>
                </c:pt>
                <c:pt idx="269">
                  <c:v>9.2964735463873481E-3</c:v>
                </c:pt>
                <c:pt idx="270">
                  <c:v>9.3710415302067536E-3</c:v>
                </c:pt>
                <c:pt idx="271">
                  <c:v>9.4459536426599097E-3</c:v>
                </c:pt>
                <c:pt idx="272">
                  <c:v>9.5212104693267775E-3</c:v>
                </c:pt>
                <c:pt idx="273">
                  <c:v>9.5968125639435704E-3</c:v>
                </c:pt>
                <c:pt idx="274">
                  <c:v>9.6727605102131485E-3</c:v>
                </c:pt>
                <c:pt idx="275">
                  <c:v>9.7490549212808971E-3</c:v>
                </c:pt>
                <c:pt idx="276">
                  <c:v>9.8256964011334685E-3</c:v>
                </c:pt>
                <c:pt idx="277">
                  <c:v>9.9026855363892503E-3</c:v>
                </c:pt>
                <c:pt idx="278">
                  <c:v>9.9800229408579036E-3</c:v>
                </c:pt>
                <c:pt idx="279">
                  <c:v>1.0057709267575959E-2</c:v>
                </c:pt>
                <c:pt idx="280">
                  <c:v>1.0135745151624541E-2</c:v>
                </c:pt>
                <c:pt idx="281">
                  <c:v>1.0214131161712072E-2</c:v>
                </c:pt>
                <c:pt idx="282">
                  <c:v>1.0292867829260925E-2</c:v>
                </c:pt>
                <c:pt idx="283">
                  <c:v>1.0371955722756529E-2</c:v>
                </c:pt>
                <c:pt idx="284">
                  <c:v>1.0451395483191442E-2</c:v>
                </c:pt>
                <c:pt idx="285">
                  <c:v>1.0531187769176728E-2</c:v>
                </c:pt>
                <c:pt idx="286">
                  <c:v>1.0611333196298266E-2</c:v>
                </c:pt>
                <c:pt idx="287">
                  <c:v>1.0691832332914063E-2</c:v>
                </c:pt>
                <c:pt idx="288">
                  <c:v>1.0772685752241761E-2</c:v>
                </c:pt>
                <c:pt idx="289">
                  <c:v>1.0853894049861923E-2</c:v>
                </c:pt>
                <c:pt idx="290">
                  <c:v>1.0935457813575484E-2</c:v>
                </c:pt>
                <c:pt idx="291">
                  <c:v>1.1017377603814065E-2</c:v>
                </c:pt>
                <c:pt idx="292">
                  <c:v>1.1099653993807022E-2</c:v>
                </c:pt>
                <c:pt idx="293">
                  <c:v>1.1182287610893002E-2</c:v>
                </c:pt>
                <c:pt idx="294">
                  <c:v>1.1265279098408795E-2</c:v>
                </c:pt>
                <c:pt idx="295">
                  <c:v>1.1348629039723779E-2</c:v>
                </c:pt>
                <c:pt idx="296">
                  <c:v>1.1432337948199573E-2</c:v>
                </c:pt>
                <c:pt idx="297">
                  <c:v>1.151640633440079E-2</c:v>
                </c:pt>
                <c:pt idx="298">
                  <c:v>1.1600834771513361E-2</c:v>
                </c:pt>
                <c:pt idx="299">
                  <c:v>1.1685623871677273E-2</c:v>
                </c:pt>
                <c:pt idx="300">
                  <c:v>1.1770774228099603E-2</c:v>
                </c:pt>
                <c:pt idx="301">
                  <c:v>1.1856286389362623E-2</c:v>
                </c:pt>
                <c:pt idx="302">
                  <c:v>1.1942160893020188E-2</c:v>
                </c:pt>
                <c:pt idx="303">
                  <c:v>1.2028398290258143E-2</c:v>
                </c:pt>
                <c:pt idx="304">
                  <c:v>1.2114999121425465E-2</c:v>
                </c:pt>
                <c:pt idx="305">
                  <c:v>1.2201963887341615E-2</c:v>
                </c:pt>
                <c:pt idx="306">
                  <c:v>1.228929307755037E-2</c:v>
                </c:pt>
                <c:pt idx="307">
                  <c:v>1.23769872293147E-2</c:v>
                </c:pt>
                <c:pt idx="308">
                  <c:v>1.2465046925397955E-2</c:v>
                </c:pt>
                <c:pt idx="309">
                  <c:v>1.2553472721377301E-2</c:v>
                </c:pt>
                <c:pt idx="310">
                  <c:v>1.2642265088552018E-2</c:v>
                </c:pt>
                <c:pt idx="311">
                  <c:v>1.2731424453031706E-2</c:v>
                </c:pt>
                <c:pt idx="312">
                  <c:v>1.2820951271683367E-2</c:v>
                </c:pt>
                <c:pt idx="313">
                  <c:v>1.2910846047810787E-2</c:v>
                </c:pt>
                <c:pt idx="314">
                  <c:v>1.3001109281397331E-2</c:v>
                </c:pt>
                <c:pt idx="315">
                  <c:v>1.3091741435440219E-2</c:v>
                </c:pt>
                <c:pt idx="316">
                  <c:v>1.3182742956671729E-2</c:v>
                </c:pt>
                <c:pt idx="317">
                  <c:v>1.3274114301634323E-2</c:v>
                </c:pt>
                <c:pt idx="318">
                  <c:v>1.3365855915512979E-2</c:v>
                </c:pt>
                <c:pt idx="319">
                  <c:v>1.3457968191285115E-2</c:v>
                </c:pt>
                <c:pt idx="320">
                  <c:v>1.3550451479223598E-2</c:v>
                </c:pt>
                <c:pt idx="321">
                  <c:v>1.3643306153058419E-2</c:v>
                </c:pt>
                <c:pt idx="322">
                  <c:v>1.3736532645072994E-2</c:v>
                </c:pt>
                <c:pt idx="323">
                  <c:v>1.3830131396870527E-2</c:v>
                </c:pt>
                <c:pt idx="324">
                  <c:v>1.3924102779700197E-2</c:v>
                </c:pt>
                <c:pt idx="325">
                  <c:v>1.4018447087173582E-2</c:v>
                </c:pt>
                <c:pt idx="326">
                  <c:v>1.4113164604208072E-2</c:v>
                </c:pt>
                <c:pt idx="327">
                  <c:v>1.4208255649650336E-2</c:v>
                </c:pt>
                <c:pt idx="328">
                  <c:v>1.4303720545888205E-2</c:v>
                </c:pt>
                <c:pt idx="329">
                  <c:v>1.4399559579328602E-2</c:v>
                </c:pt>
                <c:pt idx="330">
                  <c:v>1.4495773014790842E-2</c:v>
                </c:pt>
                <c:pt idx="331">
                  <c:v>1.4592361129402905E-2</c:v>
                </c:pt>
                <c:pt idx="332">
                  <c:v>1.468932419666907E-2</c:v>
                </c:pt>
                <c:pt idx="333">
                  <c:v>1.4786662432745103E-2</c:v>
                </c:pt>
                <c:pt idx="334">
                  <c:v>1.4884375981135217E-2</c:v>
                </c:pt>
                <c:pt idx="335">
                  <c:v>1.4982464967867374E-2</c:v>
                </c:pt>
                <c:pt idx="336">
                  <c:v>1.5080929568638329E-2</c:v>
                </c:pt>
                <c:pt idx="337">
                  <c:v>1.517976999170715E-2</c:v>
                </c:pt>
                <c:pt idx="338">
                  <c:v>1.5278986404450929E-2</c:v>
                </c:pt>
                <c:pt idx="339">
                  <c:v>1.5378578890757244E-2</c:v>
                </c:pt>
                <c:pt idx="340">
                  <c:v>1.5478547486321839E-2</c:v>
                </c:pt>
                <c:pt idx="341">
                  <c:v>1.5578892234669836E-2</c:v>
                </c:pt>
                <c:pt idx="342">
                  <c:v>1.5679613180223817E-2</c:v>
                </c:pt>
                <c:pt idx="343">
                  <c:v>1.5780710327644012E-2</c:v>
                </c:pt>
                <c:pt idx="344">
                  <c:v>1.5882183643514639E-2</c:v>
                </c:pt>
                <c:pt idx="345">
                  <c:v>1.5984033104006701E-2</c:v>
                </c:pt>
                <c:pt idx="346">
                  <c:v>1.6086258698086539E-2</c:v>
                </c:pt>
                <c:pt idx="347">
                  <c:v>1.6188860368435819E-2</c:v>
                </c:pt>
                <c:pt idx="348">
                  <c:v>1.6291837961187359E-2</c:v>
                </c:pt>
                <c:pt idx="349">
                  <c:v>1.6395191260875634E-2</c:v>
                </c:pt>
                <c:pt idx="350">
                  <c:v>1.6498920068290811E-2</c:v>
                </c:pt>
                <c:pt idx="351">
                  <c:v>1.660302422289767E-2</c:v>
                </c:pt>
                <c:pt idx="352">
                  <c:v>1.6707503549594369E-2</c:v>
                </c:pt>
                <c:pt idx="353">
                  <c:v>1.6812357798957324E-2</c:v>
                </c:pt>
                <c:pt idx="354">
                  <c:v>1.6917586654004994E-2</c:v>
                </c:pt>
                <c:pt idx="355">
                  <c:v>1.7023189776753059E-2</c:v>
                </c:pt>
                <c:pt idx="356">
                  <c:v>1.7129166817006901E-2</c:v>
                </c:pt>
                <c:pt idx="357">
                  <c:v>1.7235517376192902E-2</c:v>
                </c:pt>
                <c:pt idx="358">
                  <c:v>1.7342240996240894E-2</c:v>
                </c:pt>
                <c:pt idx="359">
                  <c:v>1.7449337207395752E-2</c:v>
                </c:pt>
                <c:pt idx="360">
                  <c:v>1.755680556481343E-2</c:v>
                </c:pt>
                <c:pt idx="361">
                  <c:v>1.7664645602784242E-2</c:v>
                </c:pt>
                <c:pt idx="362">
                  <c:v>1.7772856757836686E-2</c:v>
                </c:pt>
                <c:pt idx="363">
                  <c:v>1.7881438362395877E-2</c:v>
                </c:pt>
                <c:pt idx="364">
                  <c:v>1.7990389719135545E-2</c:v>
                </c:pt>
                <c:pt idx="365">
                  <c:v>1.8099710154708883E-2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3D-4C28-B815-4FC73864F8EF}"/>
            </c:ext>
          </c:extLst>
        </c:ser>
        <c:ser>
          <c:idx val="4"/>
          <c:order val="4"/>
          <c:tx>
            <c:strRef>
              <c:f>horizons_error_log2!$AA$1</c:f>
              <c:strCache>
                <c:ptCount val="1"/>
                <c:pt idx="0">
                  <c:v>Jupiter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horizons_error_log2!$V$2:$V$367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horizons_error_log2!$AA$2:$AA$367</c:f>
              <c:numCache>
                <c:formatCode>General</c:formatCode>
                <c:ptCount val="366"/>
                <c:pt idx="0">
                  <c:v>0</c:v>
                </c:pt>
                <c:pt idx="1">
                  <c:v>1.071765798646014E-5</c:v>
                </c:pt>
                <c:pt idx="2">
                  <c:v>1.543332329701443E-5</c:v>
                </c:pt>
                <c:pt idx="3">
                  <c:v>4.0041977258835628E-5</c:v>
                </c:pt>
                <c:pt idx="4">
                  <c:v>6.2118856754727578E-5</c:v>
                </c:pt>
                <c:pt idx="5">
                  <c:v>8.8886766175429771E-5</c:v>
                </c:pt>
                <c:pt idx="6">
                  <c:v>9.975403861252566E-5</c:v>
                </c:pt>
                <c:pt idx="7">
                  <c:v>1.1287125260179054E-4</c:v>
                </c:pt>
                <c:pt idx="8">
                  <c:v>1.1944174997370737E-4</c:v>
                </c:pt>
                <c:pt idx="9">
                  <c:v>1.2040139571000791E-4</c:v>
                </c:pt>
                <c:pt idx="10">
                  <c:v>1.2794812524321211E-4</c:v>
                </c:pt>
                <c:pt idx="11">
                  <c:v>1.400142215390876E-4</c:v>
                </c:pt>
                <c:pt idx="12">
                  <c:v>1.627930511996852E-4</c:v>
                </c:pt>
                <c:pt idx="13">
                  <c:v>1.6760804744455878E-4</c:v>
                </c:pt>
                <c:pt idx="14">
                  <c:v>1.7697531827184432E-4</c:v>
                </c:pt>
                <c:pt idx="15">
                  <c:v>1.7887665794491178E-4</c:v>
                </c:pt>
                <c:pt idx="16">
                  <c:v>1.8067581366543168E-4</c:v>
                </c:pt>
                <c:pt idx="17">
                  <c:v>1.8986658875463062E-4</c:v>
                </c:pt>
                <c:pt idx="18">
                  <c:v>2.0896731889052464E-4</c:v>
                </c:pt>
                <c:pt idx="19">
                  <c:v>2.4104880793007332E-4</c:v>
                </c:pt>
                <c:pt idx="20">
                  <c:v>2.559048217280478E-4</c:v>
                </c:pt>
                <c:pt idx="21">
                  <c:v>2.7519000474450316E-4</c:v>
                </c:pt>
                <c:pt idx="22">
                  <c:v>2.8434595479387773E-4</c:v>
                </c:pt>
                <c:pt idx="23">
                  <c:v>2.9234779101085348E-4</c:v>
                </c:pt>
                <c:pt idx="24">
                  <c:v>3.0007622445873977E-4</c:v>
                </c:pt>
                <c:pt idx="25">
                  <c:v>3.1543355675422568E-4</c:v>
                </c:pt>
                <c:pt idx="26">
                  <c:v>3.4105706760564425E-4</c:v>
                </c:pt>
                <c:pt idx="27">
                  <c:v>3.4945223789128305E-4</c:v>
                </c:pt>
                <c:pt idx="28">
                  <c:v>3.6081895949020213E-4</c:v>
                </c:pt>
                <c:pt idx="29">
                  <c:v>3.6015685394705764E-4</c:v>
                </c:pt>
                <c:pt idx="30">
                  <c:v>3.6160767984764135E-4</c:v>
                </c:pt>
                <c:pt idx="31">
                  <c:v>3.601442124319387E-4</c:v>
                </c:pt>
                <c:pt idx="32">
                  <c:v>3.7247019669488094E-4</c:v>
                </c:pt>
                <c:pt idx="33">
                  <c:v>3.9864726031827379E-4</c:v>
                </c:pt>
                <c:pt idx="34">
                  <c:v>4.1325122458500533E-4</c:v>
                </c:pt>
                <c:pt idx="35">
                  <c:v>4.3269244264418545E-4</c:v>
                </c:pt>
                <c:pt idx="36">
                  <c:v>4.4135834023327649E-4</c:v>
                </c:pt>
                <c:pt idx="37">
                  <c:v>4.5387247854067288E-4</c:v>
                </c:pt>
                <c:pt idx="38">
                  <c:v>4.5991499747386714E-4</c:v>
                </c:pt>
                <c:pt idx="39">
                  <c:v>4.7878665846925902E-4</c:v>
                </c:pt>
                <c:pt idx="40">
                  <c:v>5.0710335133674817E-4</c:v>
                </c:pt>
                <c:pt idx="41">
                  <c:v>5.2340226743296755E-4</c:v>
                </c:pt>
                <c:pt idx="42">
                  <c:v>5.3977003249507398E-4</c:v>
                </c:pt>
                <c:pt idx="43">
                  <c:v>5.4234233252067388E-4</c:v>
                </c:pt>
                <c:pt idx="44">
                  <c:v>5.4767222966651923E-4</c:v>
                </c:pt>
                <c:pt idx="45">
                  <c:v>5.4141558939908797E-4</c:v>
                </c:pt>
                <c:pt idx="46">
                  <c:v>5.4995196231563312E-4</c:v>
                </c:pt>
                <c:pt idx="47">
                  <c:v>5.6851296854217839E-4</c:v>
                </c:pt>
                <c:pt idx="48">
                  <c:v>5.8229228147157607E-4</c:v>
                </c:pt>
                <c:pt idx="49">
                  <c:v>5.9747255501896692E-4</c:v>
                </c:pt>
                <c:pt idx="50">
                  <c:v>6.0306907107039861E-4</c:v>
                </c:pt>
                <c:pt idx="51">
                  <c:v>6.1500782714303222E-4</c:v>
                </c:pt>
                <c:pt idx="52">
                  <c:v>6.1589976288295423E-4</c:v>
                </c:pt>
                <c:pt idx="53">
                  <c:v>6.3390939840602745E-4</c:v>
                </c:pt>
                <c:pt idx="54">
                  <c:v>6.6055052979781855E-4</c:v>
                </c:pt>
                <c:pt idx="55">
                  <c:v>6.8442352788392405E-4</c:v>
                </c:pt>
                <c:pt idx="56">
                  <c:v>7.0528091145118218E-4</c:v>
                </c:pt>
                <c:pt idx="57">
                  <c:v>7.1453535185146179E-4</c:v>
                </c:pt>
                <c:pt idx="58">
                  <c:v>7.2638925355261882E-4</c:v>
                </c:pt>
                <c:pt idx="59">
                  <c:v>7.2173112696988153E-4</c:v>
                </c:pt>
                <c:pt idx="60">
                  <c:v>7.3118779426228203E-4</c:v>
                </c:pt>
                <c:pt idx="61">
                  <c:v>7.4571598637770541E-4</c:v>
                </c:pt>
                <c:pt idx="62">
                  <c:v>7.6203552152507388E-4</c:v>
                </c:pt>
                <c:pt idx="63">
                  <c:v>7.7359078457509413E-4</c:v>
                </c:pt>
                <c:pt idx="64">
                  <c:v>7.7755749025250917E-4</c:v>
                </c:pt>
                <c:pt idx="65">
                  <c:v>7.8613895822844649E-4</c:v>
                </c:pt>
                <c:pt idx="66">
                  <c:v>7.8086655516891189E-4</c:v>
                </c:pt>
                <c:pt idx="67">
                  <c:v>7.9291252029991958E-4</c:v>
                </c:pt>
                <c:pt idx="68">
                  <c:v>8.1213530311687303E-4</c:v>
                </c:pt>
                <c:pt idx="69">
                  <c:v>8.3905147543995504E-4</c:v>
                </c:pt>
                <c:pt idx="70">
                  <c:v>8.6000497818473529E-4</c:v>
                </c:pt>
                <c:pt idx="71">
                  <c:v>8.748782725409123E-4</c:v>
                </c:pt>
                <c:pt idx="72">
                  <c:v>8.9149204552222924E-4</c:v>
                </c:pt>
                <c:pt idx="73">
                  <c:v>8.9150751023302731E-4</c:v>
                </c:pt>
                <c:pt idx="74">
                  <c:v>9.0390488386060512E-4</c:v>
                </c:pt>
                <c:pt idx="75">
                  <c:v>9.1838750219427965E-4</c:v>
                </c:pt>
                <c:pt idx="76">
                  <c:v>9.4122192864183173E-4</c:v>
                </c:pt>
                <c:pt idx="77">
                  <c:v>9.5337324906897007E-4</c:v>
                </c:pt>
                <c:pt idx="78">
                  <c:v>9.6069420730231301E-4</c:v>
                </c:pt>
                <c:pt idx="79">
                  <c:v>9.6766510643208823E-4</c:v>
                </c:pt>
                <c:pt idx="80">
                  <c:v>9.600403707978938E-4</c:v>
                </c:pt>
                <c:pt idx="81">
                  <c:v>9.648123115004705E-4</c:v>
                </c:pt>
                <c:pt idx="82">
                  <c:v>9.7440137649200322E-4</c:v>
                </c:pt>
                <c:pt idx="83">
                  <c:v>9.9949445840971001E-4</c:v>
                </c:pt>
                <c:pt idx="84">
                  <c:v>1.0157895060267182E-3</c:v>
                </c:pt>
                <c:pt idx="85">
                  <c:v>1.0323780021599914E-3</c:v>
                </c:pt>
                <c:pt idx="86">
                  <c:v>1.0485074657520812E-3</c:v>
                </c:pt>
                <c:pt idx="87">
                  <c:v>1.0520342085646121E-3</c:v>
                </c:pt>
                <c:pt idx="88">
                  <c:v>1.0646123429939524E-3</c:v>
                </c:pt>
                <c:pt idx="89">
                  <c:v>1.0794305120826922E-3</c:v>
                </c:pt>
                <c:pt idx="90">
                  <c:v>1.1089958494609798E-3</c:v>
                </c:pt>
                <c:pt idx="91">
                  <c:v>1.1250479252067865E-3</c:v>
                </c:pt>
                <c:pt idx="92">
                  <c:v>1.1402061406863948E-3</c:v>
                </c:pt>
                <c:pt idx="93">
                  <c:v>1.1495229621485863E-3</c:v>
                </c:pt>
                <c:pt idx="94">
                  <c:v>1.1462131184326384E-3</c:v>
                </c:pt>
                <c:pt idx="95">
                  <c:v>1.1470215128636962E-3</c:v>
                </c:pt>
                <c:pt idx="96">
                  <c:v>1.1504137611337113E-3</c:v>
                </c:pt>
                <c:pt idx="97">
                  <c:v>1.1723120866151064E-3</c:v>
                </c:pt>
                <c:pt idx="98">
                  <c:v>1.1831605271795339E-3</c:v>
                </c:pt>
                <c:pt idx="99">
                  <c:v>1.1986472209788144E-3</c:v>
                </c:pt>
                <c:pt idx="100">
                  <c:v>1.2097824284710128E-3</c:v>
                </c:pt>
                <c:pt idx="101">
                  <c:v>1.2140798013458038E-3</c:v>
                </c:pt>
                <c:pt idx="102">
                  <c:v>1.2215596999589232E-3</c:v>
                </c:pt>
                <c:pt idx="103">
                  <c:v>1.2335738602220923E-3</c:v>
                </c:pt>
                <c:pt idx="104">
                  <c:v>1.2649439144732685E-3</c:v>
                </c:pt>
                <c:pt idx="105">
                  <c:v>1.2842300970737752E-3</c:v>
                </c:pt>
                <c:pt idx="106">
                  <c:v>1.3072165622799925E-3</c:v>
                </c:pt>
                <c:pt idx="107">
                  <c:v>1.3207451993269522E-3</c:v>
                </c:pt>
                <c:pt idx="108">
                  <c:v>1.3265761418538727E-3</c:v>
                </c:pt>
                <c:pt idx="109">
                  <c:v>1.3278509040719013E-3</c:v>
                </c:pt>
                <c:pt idx="110">
                  <c:v>1.3312846516212078E-3</c:v>
                </c:pt>
                <c:pt idx="111">
                  <c:v>1.3521996948020112E-3</c:v>
                </c:pt>
                <c:pt idx="112">
                  <c:v>1.36181656669466E-3</c:v>
                </c:pt>
                <c:pt idx="113">
                  <c:v>1.3771083911965473E-3</c:v>
                </c:pt>
                <c:pt idx="114">
                  <c:v>1.3833711199407362E-3</c:v>
                </c:pt>
                <c:pt idx="115">
                  <c:v>1.387784607172984E-3</c:v>
                </c:pt>
                <c:pt idx="116">
                  <c:v>1.3870955143309778E-3</c:v>
                </c:pt>
                <c:pt idx="117">
                  <c:v>1.3932431468845308E-3</c:v>
                </c:pt>
                <c:pt idx="118">
                  <c:v>1.4193764026761732E-3</c:v>
                </c:pt>
                <c:pt idx="119">
                  <c:v>1.4383336935018362E-3</c:v>
                </c:pt>
                <c:pt idx="120">
                  <c:v>1.4643627190841604E-3</c:v>
                </c:pt>
                <c:pt idx="121">
                  <c:v>1.4800093128213925E-3</c:v>
                </c:pt>
                <c:pt idx="122">
                  <c:v>1.4946054115410118E-3</c:v>
                </c:pt>
                <c:pt idx="123">
                  <c:v>1.497735606334417E-3</c:v>
                </c:pt>
                <c:pt idx="124">
                  <c:v>1.5050725444583071E-3</c:v>
                </c:pt>
                <c:pt idx="125">
                  <c:v>1.5270124270831366E-3</c:v>
                </c:pt>
                <c:pt idx="126">
                  <c:v>1.541114665263904E-3</c:v>
                </c:pt>
                <c:pt idx="127">
                  <c:v>1.5595662587867543E-3</c:v>
                </c:pt>
                <c:pt idx="128">
                  <c:v>1.5657219365959238E-3</c:v>
                </c:pt>
                <c:pt idx="129">
                  <c:v>1.5730585307298197E-3</c:v>
                </c:pt>
                <c:pt idx="130">
                  <c:v>1.566460800407492E-3</c:v>
                </c:pt>
                <c:pt idx="131">
                  <c:v>1.5673470666651937E-3</c:v>
                </c:pt>
                <c:pt idx="132">
                  <c:v>1.5840337965147002E-3</c:v>
                </c:pt>
                <c:pt idx="133">
                  <c:v>1.5999833440054853E-3</c:v>
                </c:pt>
                <c:pt idx="134">
                  <c:v>1.6231106410017542E-3</c:v>
                </c:pt>
                <c:pt idx="135">
                  <c:v>1.6370571277875127E-3</c:v>
                </c:pt>
                <c:pt idx="136">
                  <c:v>1.6556757086178954E-3</c:v>
                </c:pt>
                <c:pt idx="137">
                  <c:v>1.658386019439836E-3</c:v>
                </c:pt>
                <c:pt idx="138">
                  <c:v>1.668420810722123E-3</c:v>
                </c:pt>
                <c:pt idx="139">
                  <c:v>1.6896449160921695E-3</c:v>
                </c:pt>
                <c:pt idx="140">
                  <c:v>1.7105446277445211E-3</c:v>
                </c:pt>
                <c:pt idx="141">
                  <c:v>1.7338019970193639E-3</c:v>
                </c:pt>
                <c:pt idx="142">
                  <c:v>1.7451373064954277E-3</c:v>
                </c:pt>
                <c:pt idx="143">
                  <c:v>1.7592123473704154E-3</c:v>
                </c:pt>
                <c:pt idx="144">
                  <c:v>1.7529687797372036E-3</c:v>
                </c:pt>
                <c:pt idx="145">
                  <c:v>1.75308967678227E-3</c:v>
                </c:pt>
                <c:pt idx="146">
                  <c:v>1.7616729478328579E-3</c:v>
                </c:pt>
                <c:pt idx="147">
                  <c:v>1.7757549605803922E-3</c:v>
                </c:pt>
                <c:pt idx="148">
                  <c:v>1.7933328445713036E-3</c:v>
                </c:pt>
                <c:pt idx="149">
                  <c:v>1.8040072086924087E-3</c:v>
                </c:pt>
                <c:pt idx="150">
                  <c:v>1.8215734281079037E-3</c:v>
                </c:pt>
                <c:pt idx="151">
                  <c:v>1.8211220250883601E-3</c:v>
                </c:pt>
                <c:pt idx="152">
                  <c:v>1.8294937246797378E-3</c:v>
                </c:pt>
                <c:pt idx="153">
                  <c:v>1.8451218190450862E-3</c:v>
                </c:pt>
                <c:pt idx="154">
                  <c:v>1.8700006533835939E-3</c:v>
                </c:pt>
                <c:pt idx="155">
                  <c:v>1.895325528023962E-3</c:v>
                </c:pt>
                <c:pt idx="156">
                  <c:v>1.9132408410086521E-3</c:v>
                </c:pt>
                <c:pt idx="157">
                  <c:v>1.9346885905556891E-3</c:v>
                </c:pt>
                <c:pt idx="158">
                  <c:v>1.9343284839417926E-3</c:v>
                </c:pt>
                <c:pt idx="159">
                  <c:v>1.9383767762515569E-3</c:v>
                </c:pt>
                <c:pt idx="160">
                  <c:v>1.9437262417357512E-3</c:v>
                </c:pt>
                <c:pt idx="161">
                  <c:v>1.9601463992504095E-3</c:v>
                </c:pt>
                <c:pt idx="162">
                  <c:v>1.9744191235787495E-3</c:v>
                </c:pt>
                <c:pt idx="163">
                  <c:v>1.9846036455740419E-3</c:v>
                </c:pt>
                <c:pt idx="164">
                  <c:v>1.9995926425201769E-3</c:v>
                </c:pt>
                <c:pt idx="165">
                  <c:v>1.9965526379246402E-3</c:v>
                </c:pt>
                <c:pt idx="166">
                  <c:v>2.0000815217834033E-3</c:v>
                </c:pt>
                <c:pt idx="167">
                  <c:v>2.0062019076788683E-3</c:v>
                </c:pt>
                <c:pt idx="168">
                  <c:v>2.0297505379477093E-3</c:v>
                </c:pt>
                <c:pt idx="169">
                  <c:v>2.0517202971634583E-3</c:v>
                </c:pt>
                <c:pt idx="170">
                  <c:v>2.073167043082553E-3</c:v>
                </c:pt>
                <c:pt idx="171">
                  <c:v>2.0978850950699687E-3</c:v>
                </c:pt>
                <c:pt idx="172">
                  <c:v>2.1045386436045442E-3</c:v>
                </c:pt>
                <c:pt idx="173">
                  <c:v>2.1131780582878323E-3</c:v>
                </c:pt>
                <c:pt idx="174">
                  <c:v>2.1188207281317051E-3</c:v>
                </c:pt>
                <c:pt idx="175">
                  <c:v>2.1406150141821054E-3</c:v>
                </c:pt>
                <c:pt idx="176">
                  <c:v>2.1558638362013283E-3</c:v>
                </c:pt>
                <c:pt idx="177">
                  <c:v>2.170751099712724E-3</c:v>
                </c:pt>
                <c:pt idx="178">
                  <c:v>2.1857266352608238E-3</c:v>
                </c:pt>
                <c:pt idx="179">
                  <c:v>2.1849693625005909E-3</c:v>
                </c:pt>
                <c:pt idx="180">
                  <c:v>2.184713178981884E-3</c:v>
                </c:pt>
                <c:pt idx="181">
                  <c:v>2.1821941338199331E-3</c:v>
                </c:pt>
                <c:pt idx="182">
                  <c:v>2.200917299790525E-3</c:v>
                </c:pt>
                <c:pt idx="183">
                  <c:v>2.2158197211011327E-3</c:v>
                </c:pt>
                <c:pt idx="184">
                  <c:v>2.2365318059743354E-3</c:v>
                </c:pt>
                <c:pt idx="185">
                  <c:v>2.2584639469942261E-3</c:v>
                </c:pt>
                <c:pt idx="186">
                  <c:v>2.2694727768350883E-3</c:v>
                </c:pt>
                <c:pt idx="187">
                  <c:v>2.2788841605884203E-3</c:v>
                </c:pt>
                <c:pt idx="188">
                  <c:v>2.2842952803878752E-3</c:v>
                </c:pt>
                <c:pt idx="189">
                  <c:v>2.3096354653986983E-3</c:v>
                </c:pt>
                <c:pt idx="190">
                  <c:v>2.3276034695676432E-3</c:v>
                </c:pt>
                <c:pt idx="191">
                  <c:v>2.3500802328407398E-3</c:v>
                </c:pt>
                <c:pt idx="192">
                  <c:v>2.3682379106062623E-3</c:v>
                </c:pt>
                <c:pt idx="193">
                  <c:v>2.3758275604819877E-3</c:v>
                </c:pt>
                <c:pt idx="194">
                  <c:v>2.3762154939270031E-3</c:v>
                </c:pt>
                <c:pt idx="195">
                  <c:v>2.3708185226605435E-3</c:v>
                </c:pt>
                <c:pt idx="196">
                  <c:v>2.3854202373117194E-3</c:v>
                </c:pt>
                <c:pt idx="197">
                  <c:v>2.3945160699605172E-3</c:v>
                </c:pt>
                <c:pt idx="198">
                  <c:v>2.4128438683234592E-3</c:v>
                </c:pt>
                <c:pt idx="199">
                  <c:v>2.4285627328222686E-3</c:v>
                </c:pt>
                <c:pt idx="200">
                  <c:v>2.4410547141369811E-3</c:v>
                </c:pt>
                <c:pt idx="201">
                  <c:v>2.4465574266608085E-3</c:v>
                </c:pt>
                <c:pt idx="202">
                  <c:v>2.448946770515431E-3</c:v>
                </c:pt>
                <c:pt idx="203">
                  <c:v>2.4718341806971296E-3</c:v>
                </c:pt>
                <c:pt idx="204">
                  <c:v>2.4902058794253287E-3</c:v>
                </c:pt>
                <c:pt idx="205">
                  <c:v>2.5178783562355756E-3</c:v>
                </c:pt>
                <c:pt idx="206">
                  <c:v>2.5391029114811029E-3</c:v>
                </c:pt>
                <c:pt idx="207">
                  <c:v>2.5574768896091471E-3</c:v>
                </c:pt>
                <c:pt idx="208">
                  <c:v>2.562130990729211E-3</c:v>
                </c:pt>
                <c:pt idx="209">
                  <c:v>2.5603826521838412E-3</c:v>
                </c:pt>
                <c:pt idx="210">
                  <c:v>2.5740360101725408E-3</c:v>
                </c:pt>
                <c:pt idx="211">
                  <c:v>2.5827576894017928E-3</c:v>
                </c:pt>
                <c:pt idx="212">
                  <c:v>2.6008633676734552E-3</c:v>
                </c:pt>
                <c:pt idx="213">
                  <c:v>2.6122004982789362E-3</c:v>
                </c:pt>
                <c:pt idx="214">
                  <c:v>2.6262469046867618E-3</c:v>
                </c:pt>
                <c:pt idx="215">
                  <c:v>2.6266497089137007E-3</c:v>
                </c:pt>
                <c:pt idx="216">
                  <c:v>2.6248541461093662E-3</c:v>
                </c:pt>
                <c:pt idx="217">
                  <c:v>2.6394742276949264E-3</c:v>
                </c:pt>
                <c:pt idx="218">
                  <c:v>2.6545547400928099E-3</c:v>
                </c:pt>
                <c:pt idx="219">
                  <c:v>2.6814106669094655E-3</c:v>
                </c:pt>
                <c:pt idx="220">
                  <c:v>2.7021068851369478E-3</c:v>
                </c:pt>
                <c:pt idx="221">
                  <c:v>2.7281261499989729E-3</c:v>
                </c:pt>
                <c:pt idx="222">
                  <c:v>2.7366606194785125E-3</c:v>
                </c:pt>
                <c:pt idx="223">
                  <c:v>2.7410557923880927E-3</c:v>
                </c:pt>
                <c:pt idx="224">
                  <c:v>2.7550875126644537E-3</c:v>
                </c:pt>
                <c:pt idx="225">
                  <c:v>2.7684164359158248E-3</c:v>
                </c:pt>
                <c:pt idx="226">
                  <c:v>2.7894821150311411E-3</c:v>
                </c:pt>
                <c:pt idx="227">
                  <c:v>2.8018050367876347E-3</c:v>
                </c:pt>
                <c:pt idx="228">
                  <c:v>2.8204348579555089E-3</c:v>
                </c:pt>
                <c:pt idx="229">
                  <c:v>2.819589314143018E-3</c:v>
                </c:pt>
                <c:pt idx="230">
                  <c:v>2.8164438895186164E-3</c:v>
                </c:pt>
                <c:pt idx="231">
                  <c:v>2.8214515242201473E-3</c:v>
                </c:pt>
                <c:pt idx="232">
                  <c:v>2.8320544893058407E-3</c:v>
                </c:pt>
                <c:pt idx="233">
                  <c:v>2.8529857766164297E-3</c:v>
                </c:pt>
                <c:pt idx="234">
                  <c:v>2.8695341713873947E-3</c:v>
                </c:pt>
                <c:pt idx="235">
                  <c:v>2.8970575171750725E-3</c:v>
                </c:pt>
                <c:pt idx="236">
                  <c:v>2.9061623312467764E-3</c:v>
                </c:pt>
                <c:pt idx="237">
                  <c:v>2.9142508624634047E-3</c:v>
                </c:pt>
                <c:pt idx="238">
                  <c:v>2.9260013158078084E-3</c:v>
                </c:pt>
                <c:pt idx="239">
                  <c:v>2.9442786809137328E-3</c:v>
                </c:pt>
                <c:pt idx="240">
                  <c:v>2.9682788894223188E-3</c:v>
                </c:pt>
                <c:pt idx="241">
                  <c:v>2.9856000829971397E-3</c:v>
                </c:pt>
                <c:pt idx="242">
                  <c:v>3.0112486548942068E-3</c:v>
                </c:pt>
                <c:pt idx="243">
                  <c:v>3.0152379274758054E-3</c:v>
                </c:pt>
                <c:pt idx="244">
                  <c:v>3.0161554480092954E-3</c:v>
                </c:pt>
                <c:pt idx="245">
                  <c:v>3.015459285355401E-3</c:v>
                </c:pt>
                <c:pt idx="246">
                  <c:v>3.0245416077355272E-3</c:v>
                </c:pt>
                <c:pt idx="247">
                  <c:v>3.0389721155606214E-3</c:v>
                </c:pt>
                <c:pt idx="248">
                  <c:v>3.0513604745895794E-3</c:v>
                </c:pt>
                <c:pt idx="249">
                  <c:v>3.0757679351194147E-3</c:v>
                </c:pt>
                <c:pt idx="250">
                  <c:v>3.0830891453029756E-3</c:v>
                </c:pt>
                <c:pt idx="251">
                  <c:v>3.0907401840653609E-3</c:v>
                </c:pt>
                <c:pt idx="252">
                  <c:v>3.0959241032402444E-3</c:v>
                </c:pt>
                <c:pt idx="253">
                  <c:v>3.1150795276682348E-3</c:v>
                </c:pt>
                <c:pt idx="254">
                  <c:v>3.1377834561958462E-3</c:v>
                </c:pt>
                <c:pt idx="255">
                  <c:v>3.15943962616845E-3</c:v>
                </c:pt>
                <c:pt idx="256">
                  <c:v>3.1902388367788235E-3</c:v>
                </c:pt>
                <c:pt idx="257">
                  <c:v>3.2024914929582914E-3</c:v>
                </c:pt>
                <c:pt idx="258">
                  <c:v>3.2110311939689421E-3</c:v>
                </c:pt>
                <c:pt idx="259">
                  <c:v>3.21018418726946E-3</c:v>
                </c:pt>
                <c:pt idx="260">
                  <c:v>3.2224460356123632E-3</c:v>
                </c:pt>
                <c:pt idx="261">
                  <c:v>3.2341052397717E-3</c:v>
                </c:pt>
                <c:pt idx="262">
                  <c:v>3.2465427534912349E-3</c:v>
                </c:pt>
                <c:pt idx="263">
                  <c:v>3.267633660544876E-3</c:v>
                </c:pt>
                <c:pt idx="264">
                  <c:v>3.2748188967948099E-3</c:v>
                </c:pt>
                <c:pt idx="265">
                  <c:v>3.2803565072005623E-3</c:v>
                </c:pt>
                <c:pt idx="266">
                  <c:v>3.2773887372446178E-3</c:v>
                </c:pt>
                <c:pt idx="267">
                  <c:v>3.2927756509548906E-3</c:v>
                </c:pt>
                <c:pt idx="268">
                  <c:v>3.3090295147272441E-3</c:v>
                </c:pt>
                <c:pt idx="269">
                  <c:v>3.3309432764982048E-3</c:v>
                </c:pt>
                <c:pt idx="270">
                  <c:v>3.3610219381289899E-3</c:v>
                </c:pt>
                <c:pt idx="271">
                  <c:v>3.3801399005160952E-3</c:v>
                </c:pt>
                <c:pt idx="272">
                  <c:v>3.3948597930698234E-3</c:v>
                </c:pt>
                <c:pt idx="273">
                  <c:v>3.3964434853920216E-3</c:v>
                </c:pt>
                <c:pt idx="274">
                  <c:v>3.4136470716095604E-3</c:v>
                </c:pt>
                <c:pt idx="275">
                  <c:v>3.4264545542620575E-3</c:v>
                </c:pt>
                <c:pt idx="276">
                  <c:v>3.4439094966535544E-3</c:v>
                </c:pt>
                <c:pt idx="277">
                  <c:v>3.4647579306924408E-3</c:v>
                </c:pt>
                <c:pt idx="278">
                  <c:v>3.4769620179791768E-3</c:v>
                </c:pt>
                <c:pt idx="279">
                  <c:v>3.4828433331644953E-3</c:v>
                </c:pt>
                <c:pt idx="280">
                  <c:v>3.4753144067827171E-3</c:v>
                </c:pt>
                <c:pt idx="281">
                  <c:v>3.4855661494139255E-3</c:v>
                </c:pt>
                <c:pt idx="282">
                  <c:v>3.4936621158042124E-3</c:v>
                </c:pt>
                <c:pt idx="283">
                  <c:v>3.5123207535896258E-3</c:v>
                </c:pt>
                <c:pt idx="284">
                  <c:v>3.5358684103853682E-3</c:v>
                </c:pt>
                <c:pt idx="285">
                  <c:v>3.5578380926076379E-3</c:v>
                </c:pt>
                <c:pt idx="286">
                  <c:v>3.573704774249703E-3</c:v>
                </c:pt>
                <c:pt idx="287">
                  <c:v>3.5763840114950143E-3</c:v>
                </c:pt>
                <c:pt idx="288">
                  <c:v>3.5951621357042168E-3</c:v>
                </c:pt>
                <c:pt idx="289">
                  <c:v>3.6093516194833672E-3</c:v>
                </c:pt>
                <c:pt idx="290">
                  <c:v>3.6328327776722169E-3</c:v>
                </c:pt>
                <c:pt idx="291">
                  <c:v>3.6554964772311095E-3</c:v>
                </c:pt>
                <c:pt idx="292">
                  <c:v>3.6771706347113052E-3</c:v>
                </c:pt>
                <c:pt idx="293">
                  <c:v>3.6876100547513077E-3</c:v>
                </c:pt>
                <c:pt idx="294">
                  <c:v>3.6825753203818049E-3</c:v>
                </c:pt>
                <c:pt idx="295">
                  <c:v>3.6903652291132103E-3</c:v>
                </c:pt>
                <c:pt idx="296">
                  <c:v>3.6938546944834316E-3</c:v>
                </c:pt>
                <c:pt idx="297">
                  <c:v>3.7093970366347158E-3</c:v>
                </c:pt>
                <c:pt idx="298">
                  <c:v>3.7248963288819895E-3</c:v>
                </c:pt>
                <c:pt idx="299">
                  <c:v>3.7470106905861189E-3</c:v>
                </c:pt>
                <c:pt idx="300">
                  <c:v>3.7597859220088185E-3</c:v>
                </c:pt>
                <c:pt idx="301">
                  <c:v>3.7613129726867343E-3</c:v>
                </c:pt>
                <c:pt idx="302">
                  <c:v>3.7757231868733995E-3</c:v>
                </c:pt>
                <c:pt idx="303">
                  <c:v>3.7882073897244819E-3</c:v>
                </c:pt>
                <c:pt idx="304">
                  <c:v>3.8135630561492322E-3</c:v>
                </c:pt>
                <c:pt idx="305">
                  <c:v>3.8362529112898423E-3</c:v>
                </c:pt>
                <c:pt idx="306">
                  <c:v>3.8668999171095645E-3</c:v>
                </c:pt>
                <c:pt idx="307">
                  <c:v>3.8835102382346136E-3</c:v>
                </c:pt>
                <c:pt idx="308">
                  <c:v>3.8865069242191449E-3</c:v>
                </c:pt>
                <c:pt idx="309">
                  <c:v>3.8953223497858245E-3</c:v>
                </c:pt>
                <c:pt idx="310">
                  <c:v>3.9004244089486904E-3</c:v>
                </c:pt>
                <c:pt idx="311">
                  <c:v>3.9161844827905164E-3</c:v>
                </c:pt>
                <c:pt idx="312">
                  <c:v>3.9274237791343536E-3</c:v>
                </c:pt>
                <c:pt idx="313">
                  <c:v>3.9505363373657197E-3</c:v>
                </c:pt>
                <c:pt idx="314">
                  <c:v>3.9603899648576329E-3</c:v>
                </c:pt>
                <c:pt idx="315">
                  <c:v>3.9611807950481071E-3</c:v>
                </c:pt>
                <c:pt idx="316">
                  <c:v>3.9674377292568553E-3</c:v>
                </c:pt>
                <c:pt idx="317">
                  <c:v>3.9754668738867568E-3</c:v>
                </c:pt>
                <c:pt idx="318">
                  <c:v>3.9966928499013251E-3</c:v>
                </c:pt>
                <c:pt idx="319">
                  <c:v>4.0153795781447425E-3</c:v>
                </c:pt>
                <c:pt idx="320">
                  <c:v>4.0495416448475853E-3</c:v>
                </c:pt>
                <c:pt idx="321">
                  <c:v>4.0696933806413822E-3</c:v>
                </c:pt>
                <c:pt idx="322">
                  <c:v>4.081047241421513E-3</c:v>
                </c:pt>
                <c:pt idx="323">
                  <c:v>4.0911401334777706E-3</c:v>
                </c:pt>
                <c:pt idx="324">
                  <c:v>4.1016199050504911E-3</c:v>
                </c:pt>
                <c:pt idx="325">
                  <c:v>4.1201724052604277E-3</c:v>
                </c:pt>
                <c:pt idx="326">
                  <c:v>4.1328180377263402E-3</c:v>
                </c:pt>
                <c:pt idx="327">
                  <c:v>4.1598421177293562E-3</c:v>
                </c:pt>
                <c:pt idx="328">
                  <c:v>4.1712952141321003E-3</c:v>
                </c:pt>
                <c:pt idx="329">
                  <c:v>4.1754301493300994E-3</c:v>
                </c:pt>
                <c:pt idx="330">
                  <c:v>4.1749779574191057E-3</c:v>
                </c:pt>
                <c:pt idx="331">
                  <c:v>4.1794387609925985E-3</c:v>
                </c:pt>
                <c:pt idx="332">
                  <c:v>4.1932814935115728E-3</c:v>
                </c:pt>
                <c:pt idx="333">
                  <c:v>4.2057013670004717E-3</c:v>
                </c:pt>
                <c:pt idx="334">
                  <c:v>4.2368910553876706E-3</c:v>
                </c:pt>
                <c:pt idx="335">
                  <c:v>4.2563582991481134E-3</c:v>
                </c:pt>
                <c:pt idx="336">
                  <c:v>4.272171883570498E-3</c:v>
                </c:pt>
                <c:pt idx="337">
                  <c:v>4.2802340471582564E-3</c:v>
                </c:pt>
                <c:pt idx="338">
                  <c:v>4.2947247325205804E-3</c:v>
                </c:pt>
                <c:pt idx="339">
                  <c:v>4.3144532928386667E-3</c:v>
                </c:pt>
                <c:pt idx="340">
                  <c:v>4.3310713237191319E-3</c:v>
                </c:pt>
                <c:pt idx="341">
                  <c:v>4.3627359905660159E-3</c:v>
                </c:pt>
                <c:pt idx="342">
                  <c:v>4.3805921221954933E-3</c:v>
                </c:pt>
                <c:pt idx="343">
                  <c:v>4.3929390976167552E-3</c:v>
                </c:pt>
                <c:pt idx="344">
                  <c:v>4.3913302372299611E-3</c:v>
                </c:pt>
                <c:pt idx="345">
                  <c:v>4.3967868391182148E-3</c:v>
                </c:pt>
                <c:pt idx="346">
                  <c:v>4.4050157066248151E-3</c:v>
                </c:pt>
                <c:pt idx="347">
                  <c:v>4.4133611692447729E-3</c:v>
                </c:pt>
                <c:pt idx="348">
                  <c:v>4.4384034075330269E-3</c:v>
                </c:pt>
                <c:pt idx="349">
                  <c:v>4.4554152079152526E-3</c:v>
                </c:pt>
                <c:pt idx="350">
                  <c:v>4.4716465380800902E-3</c:v>
                </c:pt>
                <c:pt idx="351">
                  <c:v>4.4743702605227953E-3</c:v>
                </c:pt>
                <c:pt idx="352">
                  <c:v>4.488435088764068E-3</c:v>
                </c:pt>
                <c:pt idx="353">
                  <c:v>4.5044894655084586E-3</c:v>
                </c:pt>
                <c:pt idx="354">
                  <c:v>4.522965973200903E-3</c:v>
                </c:pt>
                <c:pt idx="355">
                  <c:v>4.5553671278744344E-3</c:v>
                </c:pt>
                <c:pt idx="356">
                  <c:v>4.5803658170195851E-3</c:v>
                </c:pt>
                <c:pt idx="357">
                  <c:v>4.6020682015651786E-3</c:v>
                </c:pt>
                <c:pt idx="358">
                  <c:v>4.6043287007594934E-3</c:v>
                </c:pt>
                <c:pt idx="359">
                  <c:v>4.6152270128201342E-3</c:v>
                </c:pt>
                <c:pt idx="360">
                  <c:v>4.6225829100437193E-3</c:v>
                </c:pt>
                <c:pt idx="361">
                  <c:v>4.6323695851100627E-3</c:v>
                </c:pt>
                <c:pt idx="362">
                  <c:v>4.6528353100571164E-3</c:v>
                </c:pt>
                <c:pt idx="363">
                  <c:v>4.6700392757555251E-3</c:v>
                </c:pt>
                <c:pt idx="364">
                  <c:v>4.6860274637308772E-3</c:v>
                </c:pt>
                <c:pt idx="365">
                  <c:v>4.6839886136399982E-3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3D-4C28-B815-4FC73864F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022479"/>
        <c:axId val="1232198031"/>
      </c:scatterChart>
      <c:valAx>
        <c:axId val="1745022479"/>
        <c:scaling>
          <c:orientation val="minMax"/>
          <c:max val="3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(24hr</a:t>
                </a:r>
                <a:r>
                  <a:rPr lang="en-US" baseline="0"/>
                  <a:t> 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98031"/>
        <c:crosses val="autoZero"/>
        <c:crossBetween val="midCat"/>
      </c:valAx>
      <c:valAx>
        <c:axId val="123219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Deviation</a:t>
                </a:r>
                <a:r>
                  <a:rPr lang="en-US" baseline="0"/>
                  <a:t> (% of Body's Semi-major Axis)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22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53340</xdr:colOff>
      <xdr:row>0</xdr:row>
      <xdr:rowOff>0</xdr:rowOff>
    </xdr:from>
    <xdr:to>
      <xdr:col>40</xdr:col>
      <xdr:colOff>281940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3C2A8-B737-9DFA-363D-4FCDD21ED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19050</xdr:colOff>
      <xdr:row>24</xdr:row>
      <xdr:rowOff>14286</xdr:rowOff>
    </xdr:from>
    <xdr:to>
      <xdr:col>39</xdr:col>
      <xdr:colOff>72390</xdr:colOff>
      <xdr:row>46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A098F0-C0EF-56A4-086B-6C12E11DD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9A276-83CD-44C8-80C3-1E46D7454EA6}" name="Table1" displayName="Table1" ref="V1:AA367" totalsRowShown="0">
  <autoFilter ref="V1:AA367" xr:uid="{67E9A276-83CD-44C8-80C3-1E46D7454EA6}"/>
  <tableColumns count="6">
    <tableColumn id="1" xr3:uid="{D206C26F-4132-481B-9EDC-96FE22F5B60D}" name="Days">
      <calculatedColumnFormula>J2</calculatedColumnFormula>
    </tableColumn>
    <tableColumn id="2" xr3:uid="{E8998055-A1C1-446D-A830-7F20FEDC3F74}" name="Mercury" dataDxfId="4">
      <calculatedColumnFormula>(L2/$T$2)*100</calculatedColumnFormula>
    </tableColumn>
    <tableColumn id="3" xr3:uid="{975B8087-7F56-4A8F-AB10-0FAFD3309181}" name="Venus" dataDxfId="3">
      <calculatedColumnFormula>100*(M2/$T$3)</calculatedColumnFormula>
    </tableColumn>
    <tableColumn id="4" xr3:uid="{913C3C45-5B54-4C6A-952C-0569B2282E27}" name="Earth" dataDxfId="2">
      <calculatedColumnFormula>100*(N2/$T$4)</calculatedColumnFormula>
    </tableColumn>
    <tableColumn id="5" xr3:uid="{1FA1547B-8CEE-40FD-99C4-1A51C33A393A}" name="Mars" dataDxfId="1">
      <calculatedColumnFormula>100*(P2/$T$5)</calculatedColumnFormula>
    </tableColumn>
    <tableColumn id="6" xr3:uid="{2572D367-31FC-4571-BBE4-D4ADCCEE5EEA}" name="Jupiter" dataDxfId="0">
      <calculatedColumnFormula>100*(Q2/$T$6)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7B43-DC35-4726-A90F-242B01E716BB}">
  <dimension ref="A1:AA367"/>
  <sheetViews>
    <sheetView tabSelected="1" topLeftCell="E1" zoomScaleNormal="100" workbookViewId="0">
      <selection activeCell="AO32" sqref="AO32"/>
    </sheetView>
  </sheetViews>
  <sheetFormatPr defaultRowHeight="14.4" x14ac:dyDescent="0.3"/>
  <cols>
    <col min="23" max="23" width="10.44140625" customWidth="1"/>
    <col min="24" max="26" width="12" bestFit="1" customWidth="1"/>
    <col min="27" max="27" width="9.33203125" customWidth="1"/>
  </cols>
  <sheetData>
    <row r="1" spans="1:27" x14ac:dyDescent="0.3">
      <c r="A1" t="s">
        <v>0</v>
      </c>
      <c r="B1">
        <v>10</v>
      </c>
      <c r="C1">
        <v>199</v>
      </c>
      <c r="D1">
        <v>299</v>
      </c>
      <c r="E1">
        <v>399</v>
      </c>
      <c r="F1">
        <v>301</v>
      </c>
      <c r="G1">
        <v>499</v>
      </c>
      <c r="H1">
        <v>599</v>
      </c>
      <c r="S1" t="s">
        <v>1</v>
      </c>
      <c r="V1" t="s">
        <v>7</v>
      </c>
      <c r="W1" t="s">
        <v>2</v>
      </c>
      <c r="X1" t="s">
        <v>3</v>
      </c>
      <c r="Y1" t="s">
        <v>4</v>
      </c>
      <c r="Z1" t="s">
        <v>5</v>
      </c>
      <c r="AA1" t="s">
        <v>6</v>
      </c>
    </row>
    <row r="2" spans="1:2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J2">
        <f>A2/24</f>
        <v>0</v>
      </c>
      <c r="K2">
        <f>B2/149600000000</f>
        <v>0</v>
      </c>
      <c r="L2">
        <f t="shared" ref="L2:Q2" si="0">C2/149600000000</f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S2" t="s">
        <v>2</v>
      </c>
      <c r="T2">
        <v>0.38700000000000001</v>
      </c>
      <c r="V2">
        <f>J2</f>
        <v>0</v>
      </c>
      <c r="W2">
        <f t="shared" ref="W2:W65" si="1">(L2/$T$2)*100</f>
        <v>0</v>
      </c>
      <c r="X2">
        <f t="shared" ref="X2:X65" si="2">100*(M2/$T$3)</f>
        <v>0</v>
      </c>
      <c r="Y2">
        <f t="shared" ref="Y2:Y65" si="3">100*(N2/$T$4)</f>
        <v>0</v>
      </c>
      <c r="Z2">
        <f>100*(P2/$T$5)</f>
        <v>0</v>
      </c>
      <c r="AA2">
        <f>100*(Q2/$T$6)</f>
        <v>0</v>
      </c>
    </row>
    <row r="3" spans="1:27" x14ac:dyDescent="0.3">
      <c r="A3">
        <v>24</v>
      </c>
      <c r="B3">
        <v>73.950856837067803</v>
      </c>
      <c r="C3">
        <v>3782.1295868023399</v>
      </c>
      <c r="D3">
        <v>1359.89613880918</v>
      </c>
      <c r="E3">
        <v>679.32902188053299</v>
      </c>
      <c r="F3">
        <v>5199.6187907663298</v>
      </c>
      <c r="G3">
        <v>280.03593858715499</v>
      </c>
      <c r="H3">
        <v>83438.939473661696</v>
      </c>
      <c r="J3">
        <f t="shared" ref="J3:J66" si="4">A3/24</f>
        <v>1</v>
      </c>
      <c r="K3">
        <f t="shared" ref="K3:K66" si="5">B3/149600000000</f>
        <v>4.9432390933868849E-10</v>
      </c>
      <c r="L3">
        <f t="shared" ref="L3:L66" si="6">C3/149600000000</f>
        <v>2.528161488504238E-8</v>
      </c>
      <c r="M3">
        <f t="shared" ref="M3:M66" si="7">D3/149600000000</f>
        <v>9.0902148316121659E-9</v>
      </c>
      <c r="N3">
        <f t="shared" ref="N3:N66" si="8">E3/149600000000</f>
        <v>4.5409693975971455E-9</v>
      </c>
      <c r="O3">
        <f t="shared" ref="O3:O66" si="9">F3/149600000000</f>
        <v>3.4756810098705415E-8</v>
      </c>
      <c r="P3">
        <f t="shared" ref="P3:P66" si="10">G3/149600000000</f>
        <v>1.8718979852082553E-9</v>
      </c>
      <c r="Q3">
        <f t="shared" ref="Q3:Q66" si="11">H3/149600000000</f>
        <v>5.5774692161538566E-7</v>
      </c>
      <c r="S3" t="s">
        <v>3</v>
      </c>
      <c r="T3">
        <v>0.72299999999999998</v>
      </c>
      <c r="V3">
        <f t="shared" ref="V3:V66" si="12">J3</f>
        <v>1</v>
      </c>
      <c r="W3">
        <f t="shared" si="1"/>
        <v>6.5327170245587547E-6</v>
      </c>
      <c r="X3">
        <f t="shared" si="2"/>
        <v>1.2572911247043107E-6</v>
      </c>
      <c r="Y3">
        <f t="shared" si="3"/>
        <v>4.5409693975971453E-7</v>
      </c>
      <c r="Z3">
        <f>100*(P3/$T$5)</f>
        <v>1.2282795178531858E-7</v>
      </c>
      <c r="AA3">
        <f>100*(Q3/$T$6)</f>
        <v>1.071765798646014E-5</v>
      </c>
    </row>
    <row r="4" spans="1:27" x14ac:dyDescent="0.3">
      <c r="A4">
        <v>48</v>
      </c>
      <c r="B4">
        <v>295.81034505655998</v>
      </c>
      <c r="C4">
        <v>15273.226954002699</v>
      </c>
      <c r="D4">
        <v>5441.5454508761204</v>
      </c>
      <c r="E4">
        <v>2749.97638355453</v>
      </c>
      <c r="F4">
        <v>21767.936692686399</v>
      </c>
      <c r="G4">
        <v>1122.13555853715</v>
      </c>
      <c r="H4">
        <v>120151.26159874399</v>
      </c>
      <c r="J4">
        <f t="shared" si="4"/>
        <v>2</v>
      </c>
      <c r="K4">
        <f t="shared" si="5"/>
        <v>1.9773418787203208E-9</v>
      </c>
      <c r="L4">
        <f t="shared" si="6"/>
        <v>1.0209376306151537E-7</v>
      </c>
      <c r="M4">
        <f t="shared" si="7"/>
        <v>3.6373966917621127E-8</v>
      </c>
      <c r="N4">
        <f t="shared" si="8"/>
        <v>1.8382195077236165E-8</v>
      </c>
      <c r="O4">
        <f t="shared" si="9"/>
        <v>1.4550759821314439E-7</v>
      </c>
      <c r="P4">
        <f t="shared" si="10"/>
        <v>7.5009061399542119E-9</v>
      </c>
      <c r="Q4">
        <f t="shared" si="11"/>
        <v>8.0315014437663096E-7</v>
      </c>
      <c r="S4" t="s">
        <v>4</v>
      </c>
      <c r="T4">
        <v>1</v>
      </c>
      <c r="V4">
        <f t="shared" si="12"/>
        <v>2</v>
      </c>
      <c r="W4">
        <f t="shared" si="1"/>
        <v>2.6380817328556945E-5</v>
      </c>
      <c r="X4">
        <f t="shared" si="2"/>
        <v>5.0309774436543747E-6</v>
      </c>
      <c r="Y4">
        <f t="shared" si="3"/>
        <v>1.8382195077236164E-6</v>
      </c>
      <c r="Z4">
        <f>100*(P4/$T$5)</f>
        <v>4.9218544225421338E-7</v>
      </c>
      <c r="AA4">
        <f>100*(Q4/$T$6)</f>
        <v>1.543332329701443E-5</v>
      </c>
    </row>
    <row r="5" spans="1:27" x14ac:dyDescent="0.3">
      <c r="A5">
        <v>72</v>
      </c>
      <c r="B5">
        <v>665.58885597327901</v>
      </c>
      <c r="C5">
        <v>34742.458797685198</v>
      </c>
      <c r="D5">
        <v>12250.300648848501</v>
      </c>
      <c r="E5">
        <v>6266.1315781306403</v>
      </c>
      <c r="F5">
        <v>51283.465545969499</v>
      </c>
      <c r="G5">
        <v>2524.4269983589402</v>
      </c>
      <c r="H5">
        <v>311734.16068385099</v>
      </c>
      <c r="J5">
        <f t="shared" si="4"/>
        <v>3</v>
      </c>
      <c r="K5">
        <f t="shared" si="5"/>
        <v>4.449123368805341E-9</v>
      </c>
      <c r="L5">
        <f t="shared" si="6"/>
        <v>2.3223568715030212E-7</v>
      </c>
      <c r="M5">
        <f t="shared" si="7"/>
        <v>8.188703642278409E-8</v>
      </c>
      <c r="N5">
        <f t="shared" si="8"/>
        <v>4.1885906270926742E-8</v>
      </c>
      <c r="O5">
        <f t="shared" si="9"/>
        <v>3.4280391407733621E-7</v>
      </c>
      <c r="P5">
        <f t="shared" si="10"/>
        <v>1.687451202111591E-8</v>
      </c>
      <c r="Q5">
        <f t="shared" si="11"/>
        <v>2.0837844965498061E-6</v>
      </c>
      <c r="S5" t="s">
        <v>5</v>
      </c>
      <c r="T5">
        <v>1.524</v>
      </c>
      <c r="V5">
        <f t="shared" si="12"/>
        <v>3</v>
      </c>
      <c r="W5">
        <f t="shared" si="1"/>
        <v>6.0009221485866175E-5</v>
      </c>
      <c r="X5">
        <f t="shared" si="2"/>
        <v>1.1326007803981202E-5</v>
      </c>
      <c r="Y5">
        <f t="shared" si="3"/>
        <v>4.1885906270926739E-6</v>
      </c>
      <c r="Z5">
        <f>100*(P5/$T$5)</f>
        <v>1.107251444955112E-6</v>
      </c>
      <c r="AA5">
        <f>100*(Q5/$T$6)</f>
        <v>4.0041977258835628E-5</v>
      </c>
    </row>
    <row r="6" spans="1:27" x14ac:dyDescent="0.3">
      <c r="A6">
        <v>96</v>
      </c>
      <c r="B6">
        <v>1183.29673623179</v>
      </c>
      <c r="C6">
        <v>62533.575531749098</v>
      </c>
      <c r="D6">
        <v>21794.719509954</v>
      </c>
      <c r="E6">
        <v>11278.1839955333</v>
      </c>
      <c r="F6">
        <v>95414.231178507005</v>
      </c>
      <c r="G6">
        <v>4485.0471203452498</v>
      </c>
      <c r="H6">
        <v>483606.72970519698</v>
      </c>
      <c r="J6">
        <f t="shared" si="4"/>
        <v>4</v>
      </c>
      <c r="K6">
        <f t="shared" si="5"/>
        <v>7.9097375416563508E-9</v>
      </c>
      <c r="L6">
        <f t="shared" si="6"/>
        <v>4.1800518403575598E-7</v>
      </c>
      <c r="M6">
        <f t="shared" si="7"/>
        <v>1.4568662774033422E-7</v>
      </c>
      <c r="N6">
        <f t="shared" si="8"/>
        <v>7.5388930451425797E-8</v>
      </c>
      <c r="O6">
        <f t="shared" si="9"/>
        <v>6.3779566295793454E-7</v>
      </c>
      <c r="P6">
        <f t="shared" si="10"/>
        <v>2.9980261499634026E-8</v>
      </c>
      <c r="Q6">
        <f t="shared" si="11"/>
        <v>3.2326653055160224E-6</v>
      </c>
      <c r="S6" t="s">
        <v>6</v>
      </c>
      <c r="T6">
        <v>5.2039999999999997</v>
      </c>
      <c r="V6">
        <f t="shared" si="12"/>
        <v>4</v>
      </c>
      <c r="W6">
        <f t="shared" si="1"/>
        <v>1.0801167546143564E-4</v>
      </c>
      <c r="X6">
        <f t="shared" si="2"/>
        <v>2.0150294293268911E-5</v>
      </c>
      <c r="Y6">
        <f t="shared" si="3"/>
        <v>7.5388930451425794E-6</v>
      </c>
      <c r="Z6">
        <f>100*(P6/$T$5)</f>
        <v>1.9672087598185058E-6</v>
      </c>
      <c r="AA6">
        <f>100*(Q6/$T$6)</f>
        <v>6.2118856754727578E-5</v>
      </c>
    </row>
    <row r="7" spans="1:27" x14ac:dyDescent="0.3">
      <c r="A7">
        <v>120</v>
      </c>
      <c r="B7">
        <v>1848.94428028876</v>
      </c>
      <c r="C7">
        <v>99071.046447529006</v>
      </c>
      <c r="D7">
        <v>34086.527696924903</v>
      </c>
      <c r="E7">
        <v>17820.943237464398</v>
      </c>
      <c r="F7">
        <v>155805.936346384</v>
      </c>
      <c r="G7">
        <v>7002.2244721564603</v>
      </c>
      <c r="H7">
        <v>691999.829840697</v>
      </c>
      <c r="J7">
        <f t="shared" si="4"/>
        <v>5</v>
      </c>
      <c r="K7">
        <f t="shared" si="5"/>
        <v>1.2359253210486364E-8</v>
      </c>
      <c r="L7">
        <f t="shared" si="6"/>
        <v>6.6223961529096928E-7</v>
      </c>
      <c r="M7">
        <f t="shared" si="7"/>
        <v>2.2785112096874934E-7</v>
      </c>
      <c r="N7">
        <f t="shared" si="8"/>
        <v>1.1912395212208822E-7</v>
      </c>
      <c r="O7">
        <f t="shared" si="9"/>
        <v>1.0414835317271657E-6</v>
      </c>
      <c r="P7">
        <f t="shared" si="10"/>
        <v>4.6806313316553881E-8</v>
      </c>
      <c r="Q7">
        <f t="shared" si="11"/>
        <v>4.6256673117693652E-6</v>
      </c>
      <c r="V7">
        <f t="shared" si="12"/>
        <v>5</v>
      </c>
      <c r="W7">
        <f t="shared" si="1"/>
        <v>1.7112134762040549E-4</v>
      </c>
      <c r="X7">
        <f t="shared" si="2"/>
        <v>3.1514677865663812E-5</v>
      </c>
      <c r="Y7">
        <f t="shared" si="3"/>
        <v>1.1912395212208822E-5</v>
      </c>
      <c r="Z7">
        <f>100*(P7/$T$5)</f>
        <v>3.0712804013486799E-6</v>
      </c>
      <c r="AA7">
        <f>100*(Q7/$T$6)</f>
        <v>8.8886766175429771E-5</v>
      </c>
    </row>
    <row r="8" spans="1:27" x14ac:dyDescent="0.3">
      <c r="A8">
        <v>144</v>
      </c>
      <c r="B8">
        <v>2662.5417559493599</v>
      </c>
      <c r="C8">
        <v>144865.581448885</v>
      </c>
      <c r="D8">
        <v>49140.570613624601</v>
      </c>
      <c r="E8">
        <v>25904.2600617561</v>
      </c>
      <c r="F8">
        <v>233934.27399402499</v>
      </c>
      <c r="G8">
        <v>10074.2947241191</v>
      </c>
      <c r="H8">
        <v>776603.54534161696</v>
      </c>
      <c r="J8">
        <f t="shared" si="4"/>
        <v>6</v>
      </c>
      <c r="K8">
        <f t="shared" si="5"/>
        <v>1.7797739010356683E-8</v>
      </c>
      <c r="L8">
        <f t="shared" si="6"/>
        <v>9.6835281717169121E-7</v>
      </c>
      <c r="M8">
        <f t="shared" si="7"/>
        <v>3.2847975009107355E-7</v>
      </c>
      <c r="N8">
        <f t="shared" si="8"/>
        <v>1.7315681859462634E-7</v>
      </c>
      <c r="O8">
        <f t="shared" si="9"/>
        <v>1.5637317780349264E-6</v>
      </c>
      <c r="P8">
        <f t="shared" si="10"/>
        <v>6.7341542273523391E-8</v>
      </c>
      <c r="Q8">
        <f t="shared" si="11"/>
        <v>5.191200169395835E-6</v>
      </c>
      <c r="V8">
        <f t="shared" si="12"/>
        <v>6</v>
      </c>
      <c r="W8">
        <f t="shared" si="1"/>
        <v>2.5022036619423547E-4</v>
      </c>
      <c r="X8">
        <f t="shared" si="2"/>
        <v>4.5432883830024001E-5</v>
      </c>
      <c r="Y8">
        <f t="shared" si="3"/>
        <v>1.7315681859462633E-5</v>
      </c>
      <c r="Z8">
        <f>100*(P8/$T$5)</f>
        <v>4.4187363696537653E-6</v>
      </c>
      <c r="AA8">
        <f>100*(Q8/$T$6)</f>
        <v>9.975403861252566E-5</v>
      </c>
    </row>
    <row r="9" spans="1:27" x14ac:dyDescent="0.3">
      <c r="A9">
        <v>168</v>
      </c>
      <c r="B9">
        <v>3624.0993911937198</v>
      </c>
      <c r="C9">
        <v>200518.58901340899</v>
      </c>
      <c r="D9">
        <v>66974.750864803704</v>
      </c>
      <c r="E9">
        <v>35506.965747170201</v>
      </c>
      <c r="F9">
        <v>330903.73758749198</v>
      </c>
      <c r="G9">
        <v>13699.610535657501</v>
      </c>
      <c r="H9">
        <v>878723.46981541801</v>
      </c>
      <c r="J9">
        <f t="shared" si="4"/>
        <v>7</v>
      </c>
      <c r="K9">
        <f t="shared" si="5"/>
        <v>2.4225263310118447E-8</v>
      </c>
      <c r="L9">
        <f t="shared" si="6"/>
        <v>1.3403648998222525E-6</v>
      </c>
      <c r="M9">
        <f t="shared" si="7"/>
        <v>4.4769218492515844E-7</v>
      </c>
      <c r="N9">
        <f t="shared" si="8"/>
        <v>2.3734602772172594E-7</v>
      </c>
      <c r="O9">
        <f t="shared" si="9"/>
        <v>2.2119233795955346E-6</v>
      </c>
      <c r="P9">
        <f t="shared" si="10"/>
        <v>9.1574936735678479E-8</v>
      </c>
      <c r="Q9">
        <f t="shared" si="11"/>
        <v>5.8738199853971792E-6</v>
      </c>
      <c r="V9">
        <f t="shared" si="12"/>
        <v>7</v>
      </c>
      <c r="W9">
        <f t="shared" si="1"/>
        <v>3.4634751933391539E-4</v>
      </c>
      <c r="X9">
        <f t="shared" si="2"/>
        <v>6.1921464028375992E-5</v>
      </c>
      <c r="Y9">
        <f t="shared" si="3"/>
        <v>2.3734602772172596E-5</v>
      </c>
      <c r="Z9">
        <f>100*(P9/$T$5)</f>
        <v>6.0088541165143355E-6</v>
      </c>
      <c r="AA9">
        <f>100*(Q9/$T$6)</f>
        <v>1.1287125260179054E-4</v>
      </c>
    </row>
    <row r="10" spans="1:27" x14ac:dyDescent="0.3">
      <c r="A10">
        <v>192</v>
      </c>
      <c r="B10">
        <v>4733.6273599858296</v>
      </c>
      <c r="C10">
        <v>266725.013458325</v>
      </c>
      <c r="D10">
        <v>87609.9518154658</v>
      </c>
      <c r="E10">
        <v>46576.010639938002</v>
      </c>
      <c r="F10">
        <v>447185.83350091998</v>
      </c>
      <c r="G10">
        <v>17876.480866309001</v>
      </c>
      <c r="H10">
        <v>929876.000827307</v>
      </c>
      <c r="J10">
        <f t="shared" si="4"/>
        <v>8</v>
      </c>
      <c r="K10">
        <f t="shared" si="5"/>
        <v>3.1641894117552337E-8</v>
      </c>
      <c r="L10">
        <f t="shared" si="6"/>
        <v>1.782921212956718E-6</v>
      </c>
      <c r="M10">
        <f t="shared" si="7"/>
        <v>5.85628020156857E-7</v>
      </c>
      <c r="N10">
        <f t="shared" si="8"/>
        <v>3.1133696951830216E-7</v>
      </c>
      <c r="O10">
        <f t="shared" si="9"/>
        <v>2.9892101169847592E-6</v>
      </c>
      <c r="P10">
        <f t="shared" si="10"/>
        <v>1.1949519295661096E-7</v>
      </c>
      <c r="Q10">
        <f t="shared" si="11"/>
        <v>6.2157486686317311E-6</v>
      </c>
      <c r="V10">
        <f t="shared" si="12"/>
        <v>8</v>
      </c>
      <c r="W10">
        <f t="shared" si="1"/>
        <v>4.6070315580276953E-4</v>
      </c>
      <c r="X10">
        <f t="shared" si="2"/>
        <v>8.0999726162774146E-5</v>
      </c>
      <c r="Y10">
        <f t="shared" si="3"/>
        <v>3.1133696951830214E-5</v>
      </c>
      <c r="Z10">
        <f>100*(P10/$T$5)</f>
        <v>7.8408919262868082E-6</v>
      </c>
      <c r="AA10">
        <f>100*(Q10/$T$6)</f>
        <v>1.1944174997370737E-4</v>
      </c>
    </row>
    <row r="11" spans="1:27" x14ac:dyDescent="0.3">
      <c r="A11">
        <v>216</v>
      </c>
      <c r="B11">
        <v>5991.1357779351301</v>
      </c>
      <c r="C11">
        <v>344273.87281044899</v>
      </c>
      <c r="D11">
        <v>111069.944334906</v>
      </c>
      <c r="E11">
        <v>59033.886439144197</v>
      </c>
      <c r="F11">
        <v>582312.29232398397</v>
      </c>
      <c r="G11">
        <v>22603.265176345099</v>
      </c>
      <c r="H11">
        <v>937347.01945922198</v>
      </c>
      <c r="J11">
        <f t="shared" si="4"/>
        <v>9</v>
      </c>
      <c r="K11">
        <f t="shared" si="5"/>
        <v>4.0047699050368519E-8</v>
      </c>
      <c r="L11">
        <f t="shared" si="6"/>
        <v>2.3012959412463166E-6</v>
      </c>
      <c r="M11">
        <f t="shared" si="7"/>
        <v>7.424461519712968E-7</v>
      </c>
      <c r="N11">
        <f t="shared" si="8"/>
        <v>3.9461154036861094E-7</v>
      </c>
      <c r="O11">
        <f t="shared" si="9"/>
        <v>3.8924618470854544E-6</v>
      </c>
      <c r="P11">
        <f t="shared" si="10"/>
        <v>1.5109134476166509E-7</v>
      </c>
      <c r="Q11">
        <f t="shared" si="11"/>
        <v>6.2656886327488104E-6</v>
      </c>
      <c r="V11">
        <f t="shared" si="12"/>
        <v>9</v>
      </c>
      <c r="W11">
        <f t="shared" si="1"/>
        <v>5.9465011401713607E-4</v>
      </c>
      <c r="X11">
        <f t="shared" si="2"/>
        <v>1.0268964757555974E-4</v>
      </c>
      <c r="Y11">
        <f t="shared" si="3"/>
        <v>3.9461154036861093E-5</v>
      </c>
      <c r="Z11">
        <f>100*(P11/$T$5)</f>
        <v>9.9141302337050579E-6</v>
      </c>
      <c r="AA11">
        <f>100*(Q11/$T$6)</f>
        <v>1.2040139571000791E-4</v>
      </c>
    </row>
    <row r="12" spans="1:27" x14ac:dyDescent="0.3">
      <c r="A12">
        <v>240</v>
      </c>
      <c r="B12">
        <v>7396.6346983352196</v>
      </c>
      <c r="C12">
        <v>434045.68455332197</v>
      </c>
      <c r="D12">
        <v>137381.28426607299</v>
      </c>
      <c r="E12">
        <v>72797.661816024294</v>
      </c>
      <c r="F12">
        <v>734574.31276791403</v>
      </c>
      <c r="G12">
        <v>27878.548297460398</v>
      </c>
      <c r="H12">
        <v>996099.69747345103</v>
      </c>
      <c r="J12">
        <f t="shared" si="4"/>
        <v>10</v>
      </c>
      <c r="K12">
        <f t="shared" si="5"/>
        <v>4.94427453097274E-8</v>
      </c>
      <c r="L12">
        <f t="shared" si="6"/>
        <v>2.9013748967468047E-6</v>
      </c>
      <c r="M12">
        <f t="shared" si="7"/>
        <v>9.1832409268765375E-7</v>
      </c>
      <c r="N12">
        <f t="shared" si="8"/>
        <v>4.8661538647075067E-7</v>
      </c>
      <c r="O12">
        <f t="shared" si="9"/>
        <v>4.9102561013897996E-6</v>
      </c>
      <c r="P12">
        <f t="shared" si="10"/>
        <v>1.8635393246965507E-7</v>
      </c>
      <c r="Q12">
        <f t="shared" si="11"/>
        <v>6.658420437656758E-6</v>
      </c>
      <c r="V12">
        <f t="shared" si="12"/>
        <v>10</v>
      </c>
      <c r="W12">
        <f t="shared" si="1"/>
        <v>7.4970927564516911E-4</v>
      </c>
      <c r="X12">
        <f t="shared" si="2"/>
        <v>1.2701578045472389E-4</v>
      </c>
      <c r="Y12">
        <f t="shared" si="3"/>
        <v>4.8661538647075064E-5</v>
      </c>
      <c r="Z12">
        <f>100*(P12/$T$5)</f>
        <v>1.2227948324780516E-5</v>
      </c>
      <c r="AA12">
        <f>100*(Q12/$T$6)</f>
        <v>1.2794812524321211E-4</v>
      </c>
    </row>
    <row r="13" spans="1:27" x14ac:dyDescent="0.3">
      <c r="A13">
        <v>264</v>
      </c>
      <c r="B13">
        <v>8950.1341371711296</v>
      </c>
      <c r="C13">
        <v>537005.83704045403</v>
      </c>
      <c r="D13">
        <v>166573.19750096099</v>
      </c>
      <c r="E13">
        <v>87810.778052868904</v>
      </c>
      <c r="F13">
        <v>900817.10594168399</v>
      </c>
      <c r="G13">
        <v>33701.126093051702</v>
      </c>
      <c r="H13">
        <v>1090036.4772985601</v>
      </c>
      <c r="J13">
        <f t="shared" si="4"/>
        <v>11</v>
      </c>
      <c r="K13">
        <f t="shared" si="5"/>
        <v>5.9827099847400598E-8</v>
      </c>
      <c r="L13">
        <f t="shared" si="6"/>
        <v>3.5896112101634627E-6</v>
      </c>
      <c r="M13">
        <f t="shared" si="7"/>
        <v>1.1134572025465306E-6</v>
      </c>
      <c r="N13">
        <f t="shared" si="8"/>
        <v>5.8697044152987235E-7</v>
      </c>
      <c r="O13">
        <f t="shared" si="9"/>
        <v>6.0215047188615242E-6</v>
      </c>
      <c r="P13">
        <f t="shared" si="10"/>
        <v>2.2527490703911565E-7</v>
      </c>
      <c r="Q13">
        <f t="shared" si="11"/>
        <v>7.2863400888941184E-6</v>
      </c>
      <c r="V13">
        <f t="shared" si="12"/>
        <v>11</v>
      </c>
      <c r="W13">
        <f t="shared" si="1"/>
        <v>9.2754811632130821E-4</v>
      </c>
      <c r="X13">
        <f t="shared" si="2"/>
        <v>1.5400514558043302E-4</v>
      </c>
      <c r="Y13">
        <f t="shared" si="3"/>
        <v>5.8697044152987233E-5</v>
      </c>
      <c r="Z13">
        <f>100*(P13/$T$5)</f>
        <v>1.4781818047186066E-5</v>
      </c>
      <c r="AA13">
        <f>100*(Q13/$T$6)</f>
        <v>1.400142215390876E-4</v>
      </c>
    </row>
    <row r="14" spans="1:27" x14ac:dyDescent="0.3">
      <c r="A14">
        <v>288</v>
      </c>
      <c r="B14">
        <v>10651.644060177099</v>
      </c>
      <c r="C14">
        <v>654192.86356116994</v>
      </c>
      <c r="D14">
        <v>198677.44945845701</v>
      </c>
      <c r="E14">
        <v>104082.877776825</v>
      </c>
      <c r="F14">
        <v>1076434.8824417901</v>
      </c>
      <c r="G14">
        <v>40069.816522148401</v>
      </c>
      <c r="H14">
        <v>1267373.85751097</v>
      </c>
      <c r="J14">
        <f t="shared" si="4"/>
        <v>12</v>
      </c>
      <c r="K14">
        <f t="shared" si="5"/>
        <v>7.1200829279258681E-8</v>
      </c>
      <c r="L14">
        <f t="shared" si="6"/>
        <v>4.3729469489383022E-6</v>
      </c>
      <c r="M14">
        <f t="shared" si="7"/>
        <v>1.3280578172356751E-6</v>
      </c>
      <c r="N14">
        <f t="shared" si="8"/>
        <v>6.9574116160979277E-7</v>
      </c>
      <c r="O14">
        <f t="shared" si="9"/>
        <v>7.1954203371777415E-6</v>
      </c>
      <c r="P14">
        <f t="shared" si="10"/>
        <v>2.6784636712666045E-7</v>
      </c>
      <c r="Q14">
        <f t="shared" si="11"/>
        <v>8.4717503844316179E-6</v>
      </c>
      <c r="V14">
        <f t="shared" si="12"/>
        <v>12</v>
      </c>
      <c r="W14">
        <f t="shared" si="1"/>
        <v>1.1299604519220418E-3</v>
      </c>
      <c r="X14">
        <f t="shared" si="2"/>
        <v>1.8368711165085409E-4</v>
      </c>
      <c r="Y14">
        <f t="shared" si="3"/>
        <v>6.9574116160979281E-5</v>
      </c>
      <c r="Z14">
        <f>100*(P14/$T$5)</f>
        <v>1.7575220940069585E-5</v>
      </c>
      <c r="AA14">
        <f>100*(Q14/$T$6)</f>
        <v>1.627930511996852E-4</v>
      </c>
    </row>
    <row r="15" spans="1:27" x14ac:dyDescent="0.3">
      <c r="A15">
        <v>312</v>
      </c>
      <c r="B15">
        <v>12501.1743744205</v>
      </c>
      <c r="C15">
        <v>786700.49915686494</v>
      </c>
      <c r="D15">
        <v>233728.20895619699</v>
      </c>
      <c r="E15">
        <v>121724.835002584</v>
      </c>
      <c r="F15">
        <v>1255635.04242984</v>
      </c>
      <c r="G15">
        <v>46983.320600579202</v>
      </c>
      <c r="H15">
        <v>1304859.48923662</v>
      </c>
      <c r="J15">
        <f t="shared" si="4"/>
        <v>13</v>
      </c>
      <c r="K15">
        <f t="shared" si="5"/>
        <v>8.3563999829014031E-8</v>
      </c>
      <c r="L15">
        <f t="shared" si="6"/>
        <v>5.2586931761822527E-6</v>
      </c>
      <c r="M15">
        <f t="shared" si="7"/>
        <v>1.5623543379424933E-6</v>
      </c>
      <c r="N15">
        <f t="shared" si="8"/>
        <v>8.1366868317235293E-7</v>
      </c>
      <c r="O15">
        <f t="shared" si="9"/>
        <v>8.3932823691834221E-6</v>
      </c>
      <c r="P15">
        <f t="shared" si="10"/>
        <v>3.1405962968301605E-7</v>
      </c>
      <c r="Q15">
        <f t="shared" si="11"/>
        <v>8.7223227890148391E-6</v>
      </c>
      <c r="V15">
        <f t="shared" si="12"/>
        <v>13</v>
      </c>
      <c r="W15">
        <f t="shared" si="1"/>
        <v>1.3588354460419257E-3</v>
      </c>
      <c r="X15">
        <f t="shared" si="2"/>
        <v>2.1609326942496448E-4</v>
      </c>
      <c r="Y15">
        <f t="shared" si="3"/>
        <v>8.1366868317235287E-5</v>
      </c>
      <c r="Z15">
        <f>100*(P15/$T$5)</f>
        <v>2.0607587249541734E-5</v>
      </c>
      <c r="AA15">
        <f>100*(Q15/$T$6)</f>
        <v>1.6760804744455878E-4</v>
      </c>
    </row>
    <row r="16" spans="1:27" x14ac:dyDescent="0.3">
      <c r="A16">
        <v>336</v>
      </c>
      <c r="B16">
        <v>14498.734929418901</v>
      </c>
      <c r="C16">
        <v>935652.429353446</v>
      </c>
      <c r="D16">
        <v>271761.89644064399</v>
      </c>
      <c r="E16">
        <v>140961.10885929299</v>
      </c>
      <c r="F16">
        <v>1431946.9765556001</v>
      </c>
      <c r="G16">
        <v>54440.306610334803</v>
      </c>
      <c r="H16">
        <v>1377785.41620487</v>
      </c>
      <c r="J16">
        <f t="shared" si="4"/>
        <v>14</v>
      </c>
      <c r="K16">
        <f t="shared" si="5"/>
        <v>9.6916677335687839E-8</v>
      </c>
      <c r="L16">
        <f t="shared" si="6"/>
        <v>6.2543611587797189E-6</v>
      </c>
      <c r="M16">
        <f t="shared" si="7"/>
        <v>1.8165902168492246E-6</v>
      </c>
      <c r="N16">
        <f t="shared" si="8"/>
        <v>9.422534014658622E-7</v>
      </c>
      <c r="O16">
        <f t="shared" si="9"/>
        <v>9.5718380785802149E-6</v>
      </c>
      <c r="P16">
        <f t="shared" si="10"/>
        <v>3.6390579284983156E-7</v>
      </c>
      <c r="Q16">
        <f t="shared" si="11"/>
        <v>9.2097955628667774E-6</v>
      </c>
      <c r="V16">
        <f t="shared" si="12"/>
        <v>14</v>
      </c>
      <c r="W16">
        <f t="shared" si="1"/>
        <v>1.6161139945167233E-3</v>
      </c>
      <c r="X16">
        <f t="shared" si="2"/>
        <v>2.5125729140376555E-4</v>
      </c>
      <c r="Y16">
        <f t="shared" si="3"/>
        <v>9.4225340146586217E-5</v>
      </c>
      <c r="Z16">
        <f>100*(P16/$T$5)</f>
        <v>2.3878332864162175E-5</v>
      </c>
      <c r="AA16">
        <f>100*(Q16/$T$6)</f>
        <v>1.7697531827184432E-4</v>
      </c>
    </row>
    <row r="17" spans="1:27" x14ac:dyDescent="0.3">
      <c r="A17">
        <v>360</v>
      </c>
      <c r="B17">
        <v>16644.3355598038</v>
      </c>
      <c r="C17">
        <v>1102168.78131515</v>
      </c>
      <c r="D17">
        <v>312817.02990824898</v>
      </c>
      <c r="E17">
        <v>162106.23391296301</v>
      </c>
      <c r="F17">
        <v>1598845.5845347799</v>
      </c>
      <c r="G17">
        <v>62439.575733004996</v>
      </c>
      <c r="H17">
        <v>1392587.6954061999</v>
      </c>
      <c r="J17">
        <f t="shared" si="4"/>
        <v>15</v>
      </c>
      <c r="K17">
        <f t="shared" si="5"/>
        <v>1.1125892753879545E-7</v>
      </c>
      <c r="L17">
        <f t="shared" si="6"/>
        <v>7.3674383777750671E-6</v>
      </c>
      <c r="M17">
        <f t="shared" si="7"/>
        <v>2.0910229271941779E-6</v>
      </c>
      <c r="N17">
        <f t="shared" si="8"/>
        <v>1.083597820273817E-6</v>
      </c>
      <c r="O17">
        <f t="shared" si="9"/>
        <v>1.0687470484858154E-5</v>
      </c>
      <c r="P17">
        <f t="shared" si="10"/>
        <v>4.1737684313506012E-7</v>
      </c>
      <c r="Q17">
        <f t="shared" si="11"/>
        <v>9.3087412794532082E-6</v>
      </c>
      <c r="V17">
        <f t="shared" si="12"/>
        <v>15</v>
      </c>
      <c r="W17">
        <f t="shared" si="1"/>
        <v>1.9037308469703016E-3</v>
      </c>
      <c r="X17">
        <f t="shared" si="2"/>
        <v>2.892147893767881E-4</v>
      </c>
      <c r="Y17">
        <f t="shared" si="3"/>
        <v>1.0835978202738169E-4</v>
      </c>
      <c r="Z17">
        <f>100*(P17/$T$5)</f>
        <v>2.7386931964242793E-5</v>
      </c>
      <c r="AA17">
        <f>100*(Q17/$T$6)</f>
        <v>1.7887665794491178E-4</v>
      </c>
    </row>
    <row r="18" spans="1:27" x14ac:dyDescent="0.3">
      <c r="A18">
        <v>384</v>
      </c>
      <c r="B18">
        <v>18937.986103065599</v>
      </c>
      <c r="C18">
        <v>1287323.7547382801</v>
      </c>
      <c r="D18">
        <v>356934.05508003099</v>
      </c>
      <c r="E18">
        <v>185507.53389974701</v>
      </c>
      <c r="F18">
        <v>1750313.8403837199</v>
      </c>
      <c r="G18">
        <v>70980.106373068207</v>
      </c>
      <c r="H18">
        <v>1406594.4537351001</v>
      </c>
      <c r="J18">
        <f t="shared" si="4"/>
        <v>16</v>
      </c>
      <c r="K18">
        <f t="shared" si="5"/>
        <v>1.2659081619696255E-7</v>
      </c>
      <c r="L18">
        <f t="shared" si="6"/>
        <v>8.6051053124216587E-6</v>
      </c>
      <c r="M18">
        <f t="shared" si="7"/>
        <v>2.3859228280750735E-6</v>
      </c>
      <c r="N18">
        <f t="shared" si="8"/>
        <v>1.240023622324512E-6</v>
      </c>
      <c r="O18">
        <f t="shared" si="9"/>
        <v>1.1699958826094384E-5</v>
      </c>
      <c r="P18">
        <f t="shared" si="10"/>
        <v>4.7446595169163238E-7</v>
      </c>
      <c r="Q18">
        <f t="shared" si="11"/>
        <v>9.4023693431490645E-6</v>
      </c>
      <c r="V18">
        <f t="shared" si="12"/>
        <v>16</v>
      </c>
      <c r="W18">
        <f t="shared" si="1"/>
        <v>2.2235414243983614E-3</v>
      </c>
      <c r="X18">
        <f t="shared" si="2"/>
        <v>3.3000315741010697E-4</v>
      </c>
      <c r="Y18">
        <f t="shared" si="3"/>
        <v>1.2400236223245121E-4</v>
      </c>
      <c r="Z18">
        <f>100*(P18/$T$5)</f>
        <v>3.1132936462705537E-5</v>
      </c>
      <c r="AA18">
        <f>100*(Q18/$T$6)</f>
        <v>1.8067581366543168E-4</v>
      </c>
    </row>
    <row r="19" spans="1:27" x14ac:dyDescent="0.3">
      <c r="A19">
        <v>408</v>
      </c>
      <c r="B19">
        <v>21379.6964273292</v>
      </c>
      <c r="C19">
        <v>1492094.3875126</v>
      </c>
      <c r="D19">
        <v>404155.18363171199</v>
      </c>
      <c r="E19">
        <v>211473.03141294999</v>
      </c>
      <c r="F19">
        <v>1881216.5725634401</v>
      </c>
      <c r="G19">
        <v>80060.941406593702</v>
      </c>
      <c r="H19">
        <v>1478146.3289071301</v>
      </c>
      <c r="J19">
        <f t="shared" si="4"/>
        <v>17</v>
      </c>
      <c r="K19">
        <f t="shared" si="5"/>
        <v>1.429124092735909E-7</v>
      </c>
      <c r="L19">
        <f t="shared" si="6"/>
        <v>9.9738929646564173E-6</v>
      </c>
      <c r="M19">
        <f t="shared" si="7"/>
        <v>2.701572083099679E-6</v>
      </c>
      <c r="N19">
        <f t="shared" si="8"/>
        <v>1.4135897821721257E-6</v>
      </c>
      <c r="O19">
        <f t="shared" si="9"/>
        <v>1.2574977089327808E-5</v>
      </c>
      <c r="P19">
        <f t="shared" si="10"/>
        <v>5.3516672063231079E-7</v>
      </c>
      <c r="Q19">
        <f t="shared" si="11"/>
        <v>9.8806572787909767E-6</v>
      </c>
      <c r="V19">
        <f t="shared" si="12"/>
        <v>17</v>
      </c>
      <c r="W19">
        <f t="shared" si="1"/>
        <v>2.5772333242006246E-3</v>
      </c>
      <c r="X19">
        <f t="shared" si="2"/>
        <v>3.7366142228211326E-4</v>
      </c>
      <c r="Y19">
        <f t="shared" si="3"/>
        <v>1.4135897821721257E-4</v>
      </c>
      <c r="Z19">
        <f>100*(P19/$T$5)</f>
        <v>3.5115926550676561E-5</v>
      </c>
      <c r="AA19">
        <f>100*(Q19/$T$6)</f>
        <v>1.8986658875463062E-4</v>
      </c>
    </row>
    <row r="20" spans="1:27" x14ac:dyDescent="0.3">
      <c r="A20">
        <v>432</v>
      </c>
      <c r="B20">
        <v>23969.476249818399</v>
      </c>
      <c r="C20">
        <v>1717301.33410688</v>
      </c>
      <c r="D20">
        <v>454524.18528349302</v>
      </c>
      <c r="E20">
        <v>240209.729953984</v>
      </c>
      <c r="F20">
        <v>1987460.7329003101</v>
      </c>
      <c r="G20">
        <v>89681.129739179407</v>
      </c>
      <c r="H20">
        <v>1626849.02754941</v>
      </c>
      <c r="J20">
        <f t="shared" si="4"/>
        <v>18</v>
      </c>
      <c r="K20">
        <f t="shared" si="5"/>
        <v>1.6022377172338502E-7</v>
      </c>
      <c r="L20">
        <f t="shared" si="6"/>
        <v>1.1479286992693048E-5</v>
      </c>
      <c r="M20">
        <f t="shared" si="7"/>
        <v>3.0382632706115842E-6</v>
      </c>
      <c r="N20">
        <f t="shared" si="8"/>
        <v>1.6056800130613904E-6</v>
      </c>
      <c r="O20">
        <f t="shared" si="9"/>
        <v>1.328516532687373E-5</v>
      </c>
      <c r="P20">
        <f t="shared" si="10"/>
        <v>5.9947279237419387E-7</v>
      </c>
      <c r="Q20">
        <f t="shared" si="11"/>
        <v>1.0874659275062902E-5</v>
      </c>
      <c r="V20">
        <f t="shared" si="12"/>
        <v>18</v>
      </c>
      <c r="W20">
        <f t="shared" si="1"/>
        <v>2.9662240291196506E-3</v>
      </c>
      <c r="X20">
        <f t="shared" si="2"/>
        <v>4.2023005126024681E-4</v>
      </c>
      <c r="Y20">
        <f t="shared" si="3"/>
        <v>1.6056800130613905E-4</v>
      </c>
      <c r="Z20">
        <f>100*(P20/$T$5)</f>
        <v>3.9335485063923485E-5</v>
      </c>
      <c r="AA20">
        <f>100*(Q20/$T$6)</f>
        <v>2.0896731889052464E-4</v>
      </c>
    </row>
    <row r="21" spans="1:27" x14ac:dyDescent="0.3">
      <c r="A21">
        <v>456</v>
      </c>
      <c r="B21">
        <v>26707.3357583121</v>
      </c>
      <c r="C21">
        <v>1963543.7432625401</v>
      </c>
      <c r="D21">
        <v>508086.24016093399</v>
      </c>
      <c r="E21">
        <v>271789.58818408602</v>
      </c>
      <c r="F21">
        <v>2066004.5659467899</v>
      </c>
      <c r="G21">
        <v>99839.802564155907</v>
      </c>
      <c r="H21">
        <v>1876609.3227162799</v>
      </c>
      <c r="J21">
        <f t="shared" si="4"/>
        <v>19</v>
      </c>
      <c r="K21">
        <f t="shared" si="5"/>
        <v>1.7852497164647126E-7</v>
      </c>
      <c r="L21">
        <f t="shared" si="6"/>
        <v>1.3125292401487567E-5</v>
      </c>
      <c r="M21">
        <f t="shared" si="7"/>
        <v>3.396298396797687E-6</v>
      </c>
      <c r="N21">
        <f t="shared" si="8"/>
        <v>1.8167753220861364E-6</v>
      </c>
      <c r="O21">
        <f t="shared" si="9"/>
        <v>1.3810190948842179E-5</v>
      </c>
      <c r="P21">
        <f t="shared" si="10"/>
        <v>6.6737835938606895E-7</v>
      </c>
      <c r="Q21">
        <f t="shared" si="11"/>
        <v>1.2544179964681016E-5</v>
      </c>
      <c r="V21">
        <f t="shared" si="12"/>
        <v>19</v>
      </c>
      <c r="W21">
        <f t="shared" si="1"/>
        <v>3.3915484241569941E-3</v>
      </c>
      <c r="X21">
        <f t="shared" si="2"/>
        <v>4.6975081560133984E-4</v>
      </c>
      <c r="Y21">
        <f t="shared" si="3"/>
        <v>1.8167753220861365E-4</v>
      </c>
      <c r="Z21">
        <f>100*(P21/$T$5)</f>
        <v>4.3791230930844415E-5</v>
      </c>
      <c r="AA21">
        <f>100*(Q21/$T$6)</f>
        <v>2.4104880793007332E-4</v>
      </c>
    </row>
    <row r="22" spans="1:27" x14ac:dyDescent="0.3">
      <c r="A22">
        <v>480</v>
      </c>
      <c r="B22">
        <v>29593.2849627623</v>
      </c>
      <c r="C22">
        <v>2231131.7464875299</v>
      </c>
      <c r="D22">
        <v>564887.73589169094</v>
      </c>
      <c r="E22">
        <v>306146.323461238</v>
      </c>
      <c r="F22">
        <v>2114807.3655381799</v>
      </c>
      <c r="G22">
        <v>110536.201185454</v>
      </c>
      <c r="H22">
        <v>1992266.1236400499</v>
      </c>
      <c r="J22">
        <f t="shared" si="4"/>
        <v>20</v>
      </c>
      <c r="K22">
        <f t="shared" si="5"/>
        <v>1.9781607595429345E-7</v>
      </c>
      <c r="L22">
        <f t="shared" si="6"/>
        <v>1.4913982262617179E-5</v>
      </c>
      <c r="M22">
        <f t="shared" si="7"/>
        <v>3.7759875393829607E-6</v>
      </c>
      <c r="N22">
        <f t="shared" si="8"/>
        <v>2.0464326434574731E-6</v>
      </c>
      <c r="O22">
        <f t="shared" si="9"/>
        <v>1.4136412871244519E-5</v>
      </c>
      <c r="P22">
        <f t="shared" si="10"/>
        <v>7.3887835017014706E-7</v>
      </c>
      <c r="Q22">
        <f t="shared" si="11"/>
        <v>1.3317286922727607E-5</v>
      </c>
      <c r="V22">
        <f t="shared" si="12"/>
        <v>20</v>
      </c>
      <c r="W22">
        <f t="shared" si="1"/>
        <v>3.8537421867227851E-3</v>
      </c>
      <c r="X22">
        <f t="shared" si="2"/>
        <v>5.2226660295753261E-4</v>
      </c>
      <c r="Y22">
        <f t="shared" si="3"/>
        <v>2.0464326434574732E-4</v>
      </c>
      <c r="Z22">
        <f>100*(P22/$T$5)</f>
        <v>4.8482831375993901E-5</v>
      </c>
      <c r="AA22">
        <f>100*(Q22/$T$6)</f>
        <v>2.559048217280478E-4</v>
      </c>
    </row>
    <row r="23" spans="1:27" x14ac:dyDescent="0.3">
      <c r="A23">
        <v>504</v>
      </c>
      <c r="B23">
        <v>32627.334034055999</v>
      </c>
      <c r="C23">
        <v>2520021.5739621599</v>
      </c>
      <c r="D23">
        <v>624976.062259397</v>
      </c>
      <c r="E23">
        <v>343095.79016341898</v>
      </c>
      <c r="F23">
        <v>2132790.2135094199</v>
      </c>
      <c r="G23">
        <v>121769.606709347</v>
      </c>
      <c r="H23">
        <v>2142404.8218968301</v>
      </c>
      <c r="J23">
        <f t="shared" si="4"/>
        <v>21</v>
      </c>
      <c r="K23">
        <f t="shared" si="5"/>
        <v>2.1809715263406416E-7</v>
      </c>
      <c r="L23">
        <f t="shared" si="6"/>
        <v>1.6845063997073261E-5</v>
      </c>
      <c r="M23">
        <f t="shared" si="7"/>
        <v>4.177647474995969E-6</v>
      </c>
      <c r="N23">
        <f t="shared" si="8"/>
        <v>2.2934210572421053E-6</v>
      </c>
      <c r="O23">
        <f t="shared" si="9"/>
        <v>1.4256619074260829E-5</v>
      </c>
      <c r="P23">
        <f t="shared" si="10"/>
        <v>8.1396795928707893E-7</v>
      </c>
      <c r="Q23">
        <f t="shared" si="11"/>
        <v>1.4320887846903944E-5</v>
      </c>
      <c r="V23">
        <f t="shared" si="12"/>
        <v>21</v>
      </c>
      <c r="W23">
        <f t="shared" si="1"/>
        <v>4.3527297150060106E-3</v>
      </c>
      <c r="X23">
        <f t="shared" si="2"/>
        <v>5.7782122752364723E-4</v>
      </c>
      <c r="Y23">
        <f t="shared" si="3"/>
        <v>2.2934210572421053E-4</v>
      </c>
      <c r="Z23">
        <f>100*(P23/$T$5)</f>
        <v>5.3409971081829325E-5</v>
      </c>
      <c r="AA23">
        <f>100*(Q23/$T$6)</f>
        <v>2.7519000474450316E-4</v>
      </c>
    </row>
    <row r="24" spans="1:27" x14ac:dyDescent="0.3">
      <c r="A24">
        <v>528</v>
      </c>
      <c r="B24">
        <v>35809.493541798103</v>
      </c>
      <c r="C24">
        <v>2829759.62526091</v>
      </c>
      <c r="D24">
        <v>688399.43033905199</v>
      </c>
      <c r="E24">
        <v>382369.56474800501</v>
      </c>
      <c r="F24">
        <v>2119838.0308000199</v>
      </c>
      <c r="G24">
        <v>133539.23615088299</v>
      </c>
      <c r="H24">
        <v>2213685.57772602</v>
      </c>
      <c r="J24">
        <f t="shared" si="4"/>
        <v>22</v>
      </c>
      <c r="K24">
        <f t="shared" si="5"/>
        <v>2.3936827233822262E-7</v>
      </c>
      <c r="L24">
        <f t="shared" si="6"/>
        <v>1.8915505516449933E-5</v>
      </c>
      <c r="M24">
        <f t="shared" si="7"/>
        <v>4.6016004701808292E-6</v>
      </c>
      <c r="N24">
        <f t="shared" si="8"/>
        <v>2.5559462884224934E-6</v>
      </c>
      <c r="O24">
        <f t="shared" si="9"/>
        <v>1.4170040312834357E-5</v>
      </c>
      <c r="P24">
        <f t="shared" si="10"/>
        <v>8.9264195288023396E-7</v>
      </c>
      <c r="Q24">
        <f t="shared" si="11"/>
        <v>1.4797363487473396E-5</v>
      </c>
      <c r="V24">
        <f t="shared" si="12"/>
        <v>22</v>
      </c>
      <c r="W24">
        <f t="shared" si="1"/>
        <v>4.8877275236304737E-3</v>
      </c>
      <c r="X24">
        <f t="shared" si="2"/>
        <v>6.3645926281892529E-4</v>
      </c>
      <c r="Y24">
        <f t="shared" si="3"/>
        <v>2.5559462884224932E-4</v>
      </c>
      <c r="Z24">
        <f>100*(P24/$T$5)</f>
        <v>5.8572306619437923E-5</v>
      </c>
      <c r="AA24">
        <f>100*(Q24/$T$6)</f>
        <v>2.8434595479387773E-4</v>
      </c>
    </row>
    <row r="25" spans="1:27" x14ac:dyDescent="0.3">
      <c r="A25">
        <v>552</v>
      </c>
      <c r="B25">
        <v>39139.774328452397</v>
      </c>
      <c r="C25">
        <v>3159442.4860110902</v>
      </c>
      <c r="D25">
        <v>755206.67753826198</v>
      </c>
      <c r="E25">
        <v>423653.08292370202</v>
      </c>
      <c r="F25">
        <v>2076842.5537587099</v>
      </c>
      <c r="G25">
        <v>145844.262882329</v>
      </c>
      <c r="H25">
        <v>2275981.3450130401</v>
      </c>
      <c r="J25">
        <f t="shared" si="4"/>
        <v>23</v>
      </c>
      <c r="K25">
        <f t="shared" si="5"/>
        <v>2.6162950754313098E-7</v>
      </c>
      <c r="L25">
        <f t="shared" si="6"/>
        <v>2.1119267954619588E-5</v>
      </c>
      <c r="M25">
        <f t="shared" si="7"/>
        <v>5.0481729781969388E-6</v>
      </c>
      <c r="N25">
        <f t="shared" si="8"/>
        <v>2.8319056345167247E-6</v>
      </c>
      <c r="O25">
        <f t="shared" si="9"/>
        <v>1.3882637391435227E-5</v>
      </c>
      <c r="P25">
        <f t="shared" si="10"/>
        <v>9.7489480536316186E-7</v>
      </c>
      <c r="Q25">
        <f t="shared" si="11"/>
        <v>1.5213779044204814E-5</v>
      </c>
      <c r="V25">
        <f t="shared" si="12"/>
        <v>23</v>
      </c>
      <c r="W25">
        <f t="shared" si="1"/>
        <v>5.4571751820722452E-3</v>
      </c>
      <c r="X25">
        <f t="shared" si="2"/>
        <v>6.9822586143802759E-4</v>
      </c>
      <c r="Y25">
        <f t="shared" si="3"/>
        <v>2.8319056345167248E-4</v>
      </c>
      <c r="Z25">
        <f>100*(P25/$T$5)</f>
        <v>6.3969475417530305E-5</v>
      </c>
      <c r="AA25">
        <f>100*(Q25/$T$6)</f>
        <v>2.9234779101085348E-4</v>
      </c>
    </row>
    <row r="26" spans="1:27" x14ac:dyDescent="0.3">
      <c r="A26">
        <v>576</v>
      </c>
      <c r="B26">
        <v>42618.187396513596</v>
      </c>
      <c r="C26">
        <v>3507699.6863925401</v>
      </c>
      <c r="D26">
        <v>825447.06876692199</v>
      </c>
      <c r="E26">
        <v>466622.39436875499</v>
      </c>
      <c r="F26">
        <v>2005779.37184303</v>
      </c>
      <c r="G26">
        <v>158683.998173814</v>
      </c>
      <c r="H26">
        <v>2336148.6214365899</v>
      </c>
      <c r="J26">
        <f t="shared" si="4"/>
        <v>24</v>
      </c>
      <c r="K26">
        <f t="shared" si="5"/>
        <v>2.8488093179487698E-7</v>
      </c>
      <c r="L26">
        <f t="shared" si="6"/>
        <v>2.3447190417062432E-5</v>
      </c>
      <c r="M26">
        <f t="shared" si="7"/>
        <v>5.5176943099393182E-6</v>
      </c>
      <c r="N26">
        <f t="shared" si="8"/>
        <v>3.1191336521975603E-6</v>
      </c>
      <c r="O26">
        <f t="shared" si="9"/>
        <v>1.3407616121945388E-5</v>
      </c>
      <c r="P26">
        <f t="shared" si="10"/>
        <v>1.0607219129265642E-6</v>
      </c>
      <c r="Q26">
        <f t="shared" si="11"/>
        <v>1.5615966720832819E-5</v>
      </c>
      <c r="V26">
        <f t="shared" si="12"/>
        <v>24</v>
      </c>
      <c r="W26">
        <f t="shared" si="1"/>
        <v>6.0587055341246596E-3</v>
      </c>
      <c r="X26">
        <f t="shared" si="2"/>
        <v>7.63166571222589E-4</v>
      </c>
      <c r="Y26">
        <f t="shared" si="3"/>
        <v>3.1191336521975606E-4</v>
      </c>
      <c r="Z26">
        <f>100*(P26/$T$5)</f>
        <v>6.9601175388882156E-5</v>
      </c>
      <c r="AA26">
        <f>100*(Q26/$T$6)</f>
        <v>3.0007622445873977E-4</v>
      </c>
    </row>
    <row r="27" spans="1:27" x14ac:dyDescent="0.3">
      <c r="A27">
        <v>600</v>
      </c>
      <c r="B27">
        <v>46244.7439936917</v>
      </c>
      <c r="C27">
        <v>3872704.4515287699</v>
      </c>
      <c r="D27">
        <v>899170.095437843</v>
      </c>
      <c r="E27">
        <v>510975.51736937201</v>
      </c>
      <c r="F27">
        <v>1909834.02235218</v>
      </c>
      <c r="G27">
        <v>172057.99024943999</v>
      </c>
      <c r="H27">
        <v>2455708.2791060898</v>
      </c>
      <c r="J27">
        <f t="shared" si="4"/>
        <v>25</v>
      </c>
      <c r="K27">
        <f t="shared" si="5"/>
        <v>3.0912262027868785E-7</v>
      </c>
      <c r="L27">
        <f t="shared" si="6"/>
        <v>2.5887061841769852E-5</v>
      </c>
      <c r="M27">
        <f t="shared" si="7"/>
        <v>6.0104952903599127E-6</v>
      </c>
      <c r="N27">
        <f t="shared" si="8"/>
        <v>3.4156117471214708E-6</v>
      </c>
      <c r="O27">
        <f t="shared" si="9"/>
        <v>1.2766270202888904E-5</v>
      </c>
      <c r="P27">
        <f t="shared" si="10"/>
        <v>1.1501202556780748E-6</v>
      </c>
      <c r="Q27">
        <f t="shared" si="11"/>
        <v>1.6415162293489904E-5</v>
      </c>
      <c r="V27">
        <f t="shared" si="12"/>
        <v>25</v>
      </c>
      <c r="W27">
        <f t="shared" si="1"/>
        <v>6.6891632666071961E-3</v>
      </c>
      <c r="X27">
        <f t="shared" si="2"/>
        <v>8.3132714942737377E-4</v>
      </c>
      <c r="Y27">
        <f t="shared" si="3"/>
        <v>3.4156117471214708E-4</v>
      </c>
      <c r="Z27">
        <f>100*(P27/$T$5)</f>
        <v>7.5467208377826429E-5</v>
      </c>
      <c r="AA27">
        <f>100*(Q27/$T$6)</f>
        <v>3.1543355675422568E-4</v>
      </c>
    </row>
    <row r="28" spans="1:27" x14ac:dyDescent="0.3">
      <c r="A28">
        <v>624</v>
      </c>
      <c r="B28">
        <v>50019.455696554498</v>
      </c>
      <c r="C28">
        <v>4252214.9554816503</v>
      </c>
      <c r="D28">
        <v>976425.28115188703</v>
      </c>
      <c r="E28">
        <v>556455.629215408</v>
      </c>
      <c r="F28">
        <v>1793640.8533923801</v>
      </c>
      <c r="G28">
        <v>185965.909133482</v>
      </c>
      <c r="H28">
        <v>2655192.02581038</v>
      </c>
      <c r="J28">
        <f t="shared" si="4"/>
        <v>26</v>
      </c>
      <c r="K28">
        <f t="shared" si="5"/>
        <v>3.3435465037803806E-7</v>
      </c>
      <c r="L28">
        <f t="shared" si="6"/>
        <v>2.8423896761240978E-5</v>
      </c>
      <c r="M28">
        <f t="shared" si="7"/>
        <v>6.5269069595714377E-6</v>
      </c>
      <c r="N28">
        <f t="shared" si="8"/>
        <v>3.7196231899425669E-6</v>
      </c>
      <c r="O28">
        <f t="shared" si="9"/>
        <v>1.1989577897007888E-5</v>
      </c>
      <c r="P28">
        <f t="shared" si="10"/>
        <v>1.2430876278976069E-6</v>
      </c>
      <c r="Q28">
        <f t="shared" si="11"/>
        <v>1.7748609798197726E-5</v>
      </c>
      <c r="V28">
        <f t="shared" si="12"/>
        <v>26</v>
      </c>
      <c r="W28">
        <f t="shared" si="1"/>
        <v>7.3446761656953425E-3</v>
      </c>
      <c r="X28">
        <f t="shared" si="2"/>
        <v>9.0275338306658882E-4</v>
      </c>
      <c r="Y28">
        <f t="shared" si="3"/>
        <v>3.7196231899425667E-4</v>
      </c>
      <c r="Z28">
        <f>100*(P28/$T$5)</f>
        <v>8.1567429652073929E-5</v>
      </c>
      <c r="AA28">
        <f>100*(Q28/$T$6)</f>
        <v>3.4105706760564425E-4</v>
      </c>
    </row>
    <row r="29" spans="1:27" x14ac:dyDescent="0.3">
      <c r="A29">
        <v>648</v>
      </c>
      <c r="B29">
        <v>53942.334339444897</v>
      </c>
      <c r="C29">
        <v>4643644.9104739297</v>
      </c>
      <c r="D29">
        <v>1057261.9920498</v>
      </c>
      <c r="E29">
        <v>602864.465908902</v>
      </c>
      <c r="F29">
        <v>1663767.7580406</v>
      </c>
      <c r="G29">
        <v>200407.345908502</v>
      </c>
      <c r="H29">
        <v>2720549.97119541</v>
      </c>
      <c r="J29">
        <f t="shared" si="4"/>
        <v>27</v>
      </c>
      <c r="K29">
        <f t="shared" si="5"/>
        <v>3.6057710119949795E-7</v>
      </c>
      <c r="L29">
        <f t="shared" si="6"/>
        <v>3.1040407155574393E-5</v>
      </c>
      <c r="M29">
        <f t="shared" si="7"/>
        <v>7.067259305145722E-6</v>
      </c>
      <c r="N29">
        <f t="shared" si="8"/>
        <v>4.0298426865568318E-6</v>
      </c>
      <c r="O29">
        <f t="shared" si="9"/>
        <v>1.112144223289171E-5</v>
      </c>
      <c r="P29">
        <f t="shared" si="10"/>
        <v>1.3396212961798262E-6</v>
      </c>
      <c r="Q29">
        <f t="shared" si="11"/>
        <v>1.8185494459862367E-5</v>
      </c>
      <c r="V29">
        <f t="shared" si="12"/>
        <v>27</v>
      </c>
      <c r="W29">
        <f t="shared" si="1"/>
        <v>8.0207770427840816E-3</v>
      </c>
      <c r="X29">
        <f t="shared" si="2"/>
        <v>9.7749091357478865E-4</v>
      </c>
      <c r="Y29">
        <f t="shared" si="3"/>
        <v>4.0298426865568321E-4</v>
      </c>
      <c r="Z29">
        <f>100*(P29/$T$5)</f>
        <v>8.7901659854319308E-5</v>
      </c>
      <c r="AA29">
        <f>100*(Q29/$T$6)</f>
        <v>3.4945223789128305E-4</v>
      </c>
    </row>
    <row r="30" spans="1:27" x14ac:dyDescent="0.3">
      <c r="A30">
        <v>672</v>
      </c>
      <c r="B30">
        <v>58013.391835189002</v>
      </c>
      <c r="C30">
        <v>5044158.3460945096</v>
      </c>
      <c r="D30">
        <v>1141729.2444410599</v>
      </c>
      <c r="E30">
        <v>650065.79121716204</v>
      </c>
      <c r="F30">
        <v>1529646.14724532</v>
      </c>
      <c r="G30">
        <v>215381.784727041</v>
      </c>
      <c r="H30">
        <v>2809041.9903197698</v>
      </c>
      <c r="J30">
        <f t="shared" si="4"/>
        <v>28</v>
      </c>
      <c r="K30">
        <f t="shared" si="5"/>
        <v>3.8779005237425805E-7</v>
      </c>
      <c r="L30">
        <f t="shared" si="6"/>
        <v>3.3717636003305545E-5</v>
      </c>
      <c r="M30">
        <f t="shared" si="7"/>
        <v>7.6318799762102928E-6</v>
      </c>
      <c r="N30">
        <f t="shared" si="8"/>
        <v>4.3453595669596392E-6</v>
      </c>
      <c r="O30">
        <f t="shared" si="9"/>
        <v>1.0224907401372459E-5</v>
      </c>
      <c r="P30">
        <f t="shared" si="10"/>
        <v>1.4397178123465307E-6</v>
      </c>
      <c r="Q30">
        <f t="shared" si="11"/>
        <v>1.8777018651870118E-5</v>
      </c>
      <c r="V30">
        <f t="shared" si="12"/>
        <v>28</v>
      </c>
      <c r="W30">
        <f t="shared" si="1"/>
        <v>8.7125674427146107E-3</v>
      </c>
      <c r="X30">
        <f t="shared" si="2"/>
        <v>1.0555850589502481E-3</v>
      </c>
      <c r="Y30">
        <f t="shared" si="3"/>
        <v>4.3453595669596393E-4</v>
      </c>
      <c r="Z30">
        <f>100*(P30/$T$5)</f>
        <v>9.4469672726150305E-5</v>
      </c>
      <c r="AA30">
        <f>100*(Q30/$T$6)</f>
        <v>3.6081895949020213E-4</v>
      </c>
    </row>
    <row r="31" spans="1:27" x14ac:dyDescent="0.3">
      <c r="A31">
        <v>696</v>
      </c>
      <c r="B31">
        <v>62232.6400707016</v>
      </c>
      <c r="C31">
        <v>5450780.0644769603</v>
      </c>
      <c r="D31">
        <v>1229875.5153961</v>
      </c>
      <c r="E31">
        <v>697980.33243507601</v>
      </c>
      <c r="F31">
        <v>1405097.1786660999</v>
      </c>
      <c r="G31">
        <v>230888.760792677</v>
      </c>
      <c r="H31">
        <v>2803887.37683897</v>
      </c>
      <c r="J31">
        <f t="shared" si="4"/>
        <v>29</v>
      </c>
      <c r="K31">
        <f t="shared" si="5"/>
        <v>4.1599358336030482E-7</v>
      </c>
      <c r="L31">
        <f t="shared" si="6"/>
        <v>3.6435695618161501E-5</v>
      </c>
      <c r="M31">
        <f t="shared" si="7"/>
        <v>8.2210930173536103E-6</v>
      </c>
      <c r="N31">
        <f t="shared" si="8"/>
        <v>4.6656439333895452E-6</v>
      </c>
      <c r="O31">
        <f t="shared" si="9"/>
        <v>9.3923608199605603E-6</v>
      </c>
      <c r="P31">
        <f t="shared" si="10"/>
        <v>1.5433740694697661E-6</v>
      </c>
      <c r="Q31">
        <f t="shared" si="11"/>
        <v>1.8742562679404878E-5</v>
      </c>
      <c r="V31">
        <f t="shared" si="12"/>
        <v>29</v>
      </c>
      <c r="W31">
        <f t="shared" si="1"/>
        <v>9.414908428465504E-3</v>
      </c>
      <c r="X31">
        <f t="shared" si="2"/>
        <v>1.1370806386381204E-3</v>
      </c>
      <c r="Y31">
        <f t="shared" si="3"/>
        <v>4.6656439333895455E-4</v>
      </c>
      <c r="Z31">
        <f>100*(P31/$T$5)</f>
        <v>1.012712644009033E-4</v>
      </c>
      <c r="AA31">
        <f>100*(Q31/$T$6)</f>
        <v>3.6015685394705764E-4</v>
      </c>
    </row>
    <row r="32" spans="1:27" x14ac:dyDescent="0.3">
      <c r="A32">
        <v>720</v>
      </c>
      <c r="B32">
        <v>66600.090951681603</v>
      </c>
      <c r="C32">
        <v>5860511.2640437596</v>
      </c>
      <c r="D32">
        <v>1321748.55313785</v>
      </c>
      <c r="E32">
        <v>746574.74115760101</v>
      </c>
      <c r="F32">
        <v>1310043.3947811699</v>
      </c>
      <c r="G32">
        <v>246927.95112038901</v>
      </c>
      <c r="H32">
        <v>2815182.3234269801</v>
      </c>
      <c r="J32">
        <f t="shared" si="4"/>
        <v>30</v>
      </c>
      <c r="K32">
        <f t="shared" si="5"/>
        <v>4.4518777374118718E-7</v>
      </c>
      <c r="L32">
        <f t="shared" si="6"/>
        <v>3.9174540535051866E-5</v>
      </c>
      <c r="M32">
        <f t="shared" si="7"/>
        <v>8.835217601188837E-6</v>
      </c>
      <c r="N32">
        <f t="shared" si="8"/>
        <v>4.9904728687005413E-6</v>
      </c>
      <c r="O32">
        <f t="shared" si="9"/>
        <v>8.7569745640452534E-6</v>
      </c>
      <c r="P32">
        <f t="shared" si="10"/>
        <v>1.65058790855875E-6</v>
      </c>
      <c r="Q32">
        <f t="shared" si="11"/>
        <v>1.8818063659271256E-5</v>
      </c>
      <c r="V32">
        <f t="shared" si="12"/>
        <v>30</v>
      </c>
      <c r="W32">
        <f t="shared" si="1"/>
        <v>1.0122620293295055E-2</v>
      </c>
      <c r="X32">
        <f t="shared" si="2"/>
        <v>1.2220217982280551E-3</v>
      </c>
      <c r="Y32">
        <f t="shared" si="3"/>
        <v>4.9904728687005415E-4</v>
      </c>
      <c r="Z32">
        <f>100*(P32/$T$5)</f>
        <v>1.083062932125164E-4</v>
      </c>
      <c r="AA32">
        <f>100*(Q32/$T$6)</f>
        <v>3.6160767984764135E-4</v>
      </c>
    </row>
    <row r="33" spans="1:27" x14ac:dyDescent="0.3">
      <c r="A33">
        <v>744</v>
      </c>
      <c r="B33">
        <v>71115.756344476104</v>
      </c>
      <c r="C33">
        <v>6270439.5506926998</v>
      </c>
      <c r="D33">
        <v>1417395.19549671</v>
      </c>
      <c r="E33">
        <v>795847.62250597798</v>
      </c>
      <c r="F33">
        <v>1270195.2488966901</v>
      </c>
      <c r="G33">
        <v>263499.11901187198</v>
      </c>
      <c r="H33">
        <v>2803788.96031773</v>
      </c>
      <c r="J33">
        <f t="shared" si="4"/>
        <v>31</v>
      </c>
      <c r="K33">
        <f t="shared" si="5"/>
        <v>4.7537270283740711E-7</v>
      </c>
      <c r="L33">
        <f t="shared" si="6"/>
        <v>4.1914702878961894E-5</v>
      </c>
      <c r="M33">
        <f t="shared" si="7"/>
        <v>9.4745668148175799E-6</v>
      </c>
      <c r="N33">
        <f t="shared" si="8"/>
        <v>5.3198370488367508E-6</v>
      </c>
      <c r="O33">
        <f t="shared" si="9"/>
        <v>8.4906099525179812E-6</v>
      </c>
      <c r="P33">
        <f t="shared" si="10"/>
        <v>1.7613577474055614E-6</v>
      </c>
      <c r="Q33">
        <f t="shared" si="11"/>
        <v>1.8741904814958088E-5</v>
      </c>
      <c r="V33">
        <f t="shared" si="12"/>
        <v>31</v>
      </c>
      <c r="W33">
        <f t="shared" si="1"/>
        <v>1.0830672578543124E-2</v>
      </c>
      <c r="X33">
        <f t="shared" si="2"/>
        <v>1.3104518416068576E-3</v>
      </c>
      <c r="Y33">
        <f t="shared" si="3"/>
        <v>5.3198370488367506E-4</v>
      </c>
      <c r="Z33">
        <f>100*(P33/$T$5)</f>
        <v>1.1557465534157227E-4</v>
      </c>
      <c r="AA33">
        <f>100*(Q33/$T$6)</f>
        <v>3.601442124319387E-4</v>
      </c>
    </row>
    <row r="34" spans="1:27" x14ac:dyDescent="0.3">
      <c r="A34">
        <v>768</v>
      </c>
      <c r="B34">
        <v>75779.647717416796</v>
      </c>
      <c r="C34">
        <v>6677834.1746059498</v>
      </c>
      <c r="D34">
        <v>1516861.20146845</v>
      </c>
      <c r="E34">
        <v>845815.60844142002</v>
      </c>
      <c r="F34">
        <v>1310627.9126027499</v>
      </c>
      <c r="G34">
        <v>280602.02710022603</v>
      </c>
      <c r="H34">
        <v>2899749.0157858399</v>
      </c>
      <c r="J34">
        <f t="shared" si="4"/>
        <v>32</v>
      </c>
      <c r="K34">
        <f t="shared" si="5"/>
        <v>5.0654844730893581E-7</v>
      </c>
      <c r="L34">
        <f t="shared" si="6"/>
        <v>4.4637928974638703E-5</v>
      </c>
      <c r="M34">
        <f t="shared" si="7"/>
        <v>1.0139446533880014E-5</v>
      </c>
      <c r="N34">
        <f t="shared" si="8"/>
        <v>5.6538476500094917E-6</v>
      </c>
      <c r="O34">
        <f t="shared" si="9"/>
        <v>8.7608817687349588E-6</v>
      </c>
      <c r="P34">
        <f t="shared" si="10"/>
        <v>1.8756819993330617E-6</v>
      </c>
      <c r="Q34">
        <f t="shared" si="11"/>
        <v>1.9383349036001603E-5</v>
      </c>
      <c r="V34">
        <f t="shared" si="12"/>
        <v>32</v>
      </c>
      <c r="W34">
        <f t="shared" si="1"/>
        <v>1.1534348572258064E-2</v>
      </c>
      <c r="X34">
        <f t="shared" si="2"/>
        <v>1.4024130752254514E-3</v>
      </c>
      <c r="Y34">
        <f t="shared" si="3"/>
        <v>5.6538476500094914E-4</v>
      </c>
      <c r="Z34">
        <f>100*(P34/$T$5)</f>
        <v>1.2307624667539773E-4</v>
      </c>
      <c r="AA34">
        <f>100*(Q34/$T$6)</f>
        <v>3.7247019669488094E-4</v>
      </c>
    </row>
    <row r="35" spans="1:27" x14ac:dyDescent="0.3">
      <c r="A35">
        <v>792</v>
      </c>
      <c r="B35">
        <v>80591.776307039501</v>
      </c>
      <c r="C35">
        <v>7080220.1073723203</v>
      </c>
      <c r="D35">
        <v>1620191.0757691599</v>
      </c>
      <c r="E35">
        <v>896502.08948095096</v>
      </c>
      <c r="F35">
        <v>1444216.2275868901</v>
      </c>
      <c r="G35">
        <v>298236.48491412197</v>
      </c>
      <c r="H35">
        <v>3103542.27267366</v>
      </c>
      <c r="J35">
        <f t="shared" si="4"/>
        <v>33</v>
      </c>
      <c r="K35">
        <f t="shared" si="5"/>
        <v>5.3871508226630684E-7</v>
      </c>
      <c r="L35">
        <f t="shared" si="6"/>
        <v>4.732767451452086E-5</v>
      </c>
      <c r="M35">
        <f t="shared" si="7"/>
        <v>1.0830154249793849E-5</v>
      </c>
      <c r="N35">
        <f t="shared" si="8"/>
        <v>5.9926610259421859E-6</v>
      </c>
      <c r="O35">
        <f t="shared" si="9"/>
        <v>9.6538517886824198E-6</v>
      </c>
      <c r="P35">
        <f t="shared" si="10"/>
        <v>1.9935593911371791E-6</v>
      </c>
      <c r="Q35">
        <f t="shared" si="11"/>
        <v>2.0745603426962968E-5</v>
      </c>
      <c r="V35">
        <f t="shared" si="12"/>
        <v>33</v>
      </c>
      <c r="W35">
        <f t="shared" si="1"/>
        <v>1.2229373259566113E-2</v>
      </c>
      <c r="X35">
        <f t="shared" si="2"/>
        <v>1.4979466458912656E-3</v>
      </c>
      <c r="Y35">
        <f t="shared" si="3"/>
        <v>5.9926610259421859E-4</v>
      </c>
      <c r="Z35">
        <f>100*(P35/$T$5)</f>
        <v>1.3081098367041859E-4</v>
      </c>
      <c r="AA35">
        <f>100*(Q35/$T$6)</f>
        <v>3.9864726031827379E-4</v>
      </c>
    </row>
    <row r="36" spans="1:27" x14ac:dyDescent="0.3">
      <c r="A36">
        <v>816</v>
      </c>
      <c r="B36">
        <v>85552.153234968398</v>
      </c>
      <c r="C36">
        <v>7475427.9973635897</v>
      </c>
      <c r="D36">
        <v>1727427.8913753501</v>
      </c>
      <c r="E36">
        <v>947931.01927999104</v>
      </c>
      <c r="F36">
        <v>1666673.1341659999</v>
      </c>
      <c r="G36">
        <v>316402.42561087501</v>
      </c>
      <c r="H36">
        <v>3217236.8216195898</v>
      </c>
      <c r="J36">
        <f t="shared" si="4"/>
        <v>34</v>
      </c>
      <c r="K36">
        <f t="shared" si="5"/>
        <v>5.7187268205192776E-7</v>
      </c>
      <c r="L36">
        <f t="shared" si="6"/>
        <v>4.9969438485050734E-5</v>
      </c>
      <c r="M36">
        <f t="shared" si="7"/>
        <v>1.1546977883525066E-5</v>
      </c>
      <c r="N36">
        <f t="shared" si="8"/>
        <v>6.3364372946523466E-6</v>
      </c>
      <c r="O36">
        <f t="shared" si="9"/>
        <v>1.1140863196296791E-5</v>
      </c>
      <c r="P36">
        <f t="shared" si="10"/>
        <v>2.1149894760085229E-6</v>
      </c>
      <c r="Q36">
        <f t="shared" si="11"/>
        <v>2.1505593727403676E-5</v>
      </c>
      <c r="V36">
        <f t="shared" si="12"/>
        <v>34</v>
      </c>
      <c r="W36">
        <f t="shared" si="1"/>
        <v>1.2911999608540241E-2</v>
      </c>
      <c r="X36">
        <f t="shared" si="2"/>
        <v>1.5970923766977963E-3</v>
      </c>
      <c r="Y36">
        <f t="shared" si="3"/>
        <v>6.3364372946523467E-4</v>
      </c>
      <c r="Z36">
        <f>100*(P36/$T$5)</f>
        <v>1.3877883700843326E-4</v>
      </c>
      <c r="AA36">
        <f>100*(Q36/$T$6)</f>
        <v>4.1325122458500533E-4</v>
      </c>
    </row>
    <row r="37" spans="1:27" x14ac:dyDescent="0.3">
      <c r="A37">
        <v>840</v>
      </c>
      <c r="B37">
        <v>90660.789102222305</v>
      </c>
      <c r="C37">
        <v>7861620.2327913502</v>
      </c>
      <c r="D37">
        <v>1838613.13985308</v>
      </c>
      <c r="E37">
        <v>1000128.27913347</v>
      </c>
      <c r="F37">
        <v>1963386.2110653799</v>
      </c>
      <c r="G37">
        <v>335099.86357963498</v>
      </c>
      <c r="H37">
        <v>3368590.28139443</v>
      </c>
      <c r="J37">
        <f t="shared" si="4"/>
        <v>35</v>
      </c>
      <c r="K37">
        <f t="shared" si="5"/>
        <v>6.0602131752822397E-7</v>
      </c>
      <c r="L37">
        <f t="shared" si="6"/>
        <v>5.2550937384968919E-5</v>
      </c>
      <c r="M37">
        <f t="shared" si="7"/>
        <v>1.2290194785114171E-5</v>
      </c>
      <c r="N37">
        <f t="shared" si="8"/>
        <v>6.6853494594483287E-6</v>
      </c>
      <c r="O37">
        <f t="shared" si="9"/>
        <v>1.3124239378779277E-5</v>
      </c>
      <c r="P37">
        <f t="shared" si="10"/>
        <v>2.2399723501312499E-6</v>
      </c>
      <c r="Q37">
        <f t="shared" si="11"/>
        <v>2.251731471520341E-5</v>
      </c>
      <c r="V37">
        <f t="shared" si="12"/>
        <v>35</v>
      </c>
      <c r="W37">
        <f t="shared" si="1"/>
        <v>1.3579053587847265E-2</v>
      </c>
      <c r="X37">
        <f t="shared" si="2"/>
        <v>1.6998886286464967E-3</v>
      </c>
      <c r="Y37">
        <f t="shared" si="3"/>
        <v>6.6853494594483291E-4</v>
      </c>
      <c r="Z37">
        <f>100*(P37/$T$5)</f>
        <v>1.4697981300073817E-4</v>
      </c>
      <c r="AA37">
        <f>100*(Q37/$T$6)</f>
        <v>4.3269244264418545E-4</v>
      </c>
    </row>
    <row r="38" spans="1:27" x14ac:dyDescent="0.3">
      <c r="A38">
        <v>864</v>
      </c>
      <c r="B38">
        <v>95917.694327954203</v>
      </c>
      <c r="C38">
        <v>8237295.8352266699</v>
      </c>
      <c r="D38">
        <v>1953786.5706267999</v>
      </c>
      <c r="E38">
        <v>1053133.2147251901</v>
      </c>
      <c r="F38">
        <v>2317689.6936670402</v>
      </c>
      <c r="G38">
        <v>354328.75560585398</v>
      </c>
      <c r="H38">
        <v>3436055.8886506599</v>
      </c>
      <c r="J38">
        <f t="shared" si="4"/>
        <v>36</v>
      </c>
      <c r="K38">
        <f t="shared" si="5"/>
        <v>6.4116105834193987E-7</v>
      </c>
      <c r="L38">
        <f t="shared" si="6"/>
        <v>5.5062137936007149E-5</v>
      </c>
      <c r="M38">
        <f t="shared" si="7"/>
        <v>1.3060070659270053E-5</v>
      </c>
      <c r="N38">
        <f t="shared" si="8"/>
        <v>7.0396605262379018E-6</v>
      </c>
      <c r="O38">
        <f t="shared" si="9"/>
        <v>1.5492578166223532E-5</v>
      </c>
      <c r="P38">
        <f t="shared" si="10"/>
        <v>2.3685077246380614E-6</v>
      </c>
      <c r="Q38">
        <f t="shared" si="11"/>
        <v>2.2968288025739707E-5</v>
      </c>
      <c r="V38">
        <f t="shared" si="12"/>
        <v>36</v>
      </c>
      <c r="W38">
        <f t="shared" si="1"/>
        <v>1.4227942619123295E-2</v>
      </c>
      <c r="X38">
        <f t="shared" si="2"/>
        <v>1.8063721520428842E-3</v>
      </c>
      <c r="Y38">
        <f t="shared" si="3"/>
        <v>7.0396605262379019E-4</v>
      </c>
      <c r="Z38">
        <f>100*(P38/$T$5)</f>
        <v>1.5541389269278617E-4</v>
      </c>
      <c r="AA38">
        <f>100*(Q38/$T$6)</f>
        <v>4.4135834023327649E-4</v>
      </c>
    </row>
    <row r="39" spans="1:27" x14ac:dyDescent="0.3">
      <c r="A39">
        <v>888</v>
      </c>
      <c r="B39">
        <v>101322.879121216</v>
      </c>
      <c r="C39">
        <v>8601278.4113498293</v>
      </c>
      <c r="D39">
        <v>2072986.04093939</v>
      </c>
      <c r="E39">
        <v>1107022.5017993699</v>
      </c>
      <c r="F39">
        <v>2713770.6313971998</v>
      </c>
      <c r="G39">
        <v>374088.94673209201</v>
      </c>
      <c r="H39">
        <v>3533480.7579751899</v>
      </c>
      <c r="J39">
        <f t="shared" si="4"/>
        <v>37</v>
      </c>
      <c r="K39">
        <f t="shared" si="5"/>
        <v>6.7729197273540105E-7</v>
      </c>
      <c r="L39">
        <f t="shared" si="6"/>
        <v>5.7495176546456081E-5</v>
      </c>
      <c r="M39">
        <f t="shared" si="7"/>
        <v>1.3856858562429077E-5</v>
      </c>
      <c r="N39">
        <f t="shared" si="8"/>
        <v>7.3998830334182486E-6</v>
      </c>
      <c r="O39">
        <f t="shared" si="9"/>
        <v>1.8140178017360963E-5</v>
      </c>
      <c r="P39">
        <f t="shared" si="10"/>
        <v>2.5005945637171927E-6</v>
      </c>
      <c r="Q39">
        <f t="shared" si="11"/>
        <v>2.3619523783256617E-5</v>
      </c>
      <c r="V39">
        <f t="shared" si="12"/>
        <v>37</v>
      </c>
      <c r="W39">
        <f t="shared" si="1"/>
        <v>1.4856634766526117E-2</v>
      </c>
      <c r="X39">
        <f t="shared" si="2"/>
        <v>1.916577947777189E-3</v>
      </c>
      <c r="Y39">
        <f t="shared" si="3"/>
        <v>7.3998830334182487E-4</v>
      </c>
      <c r="Z39">
        <f>100*(P39/$T$5)</f>
        <v>1.6408100811792601E-4</v>
      </c>
      <c r="AA39">
        <f>100*(Q39/$T$6)</f>
        <v>4.5387247854067288E-4</v>
      </c>
    </row>
    <row r="40" spans="1:27" x14ac:dyDescent="0.3">
      <c r="A40">
        <v>912</v>
      </c>
      <c r="B40">
        <v>106876.353415583</v>
      </c>
      <c r="C40">
        <v>8952691.9552320894</v>
      </c>
      <c r="D40">
        <v>2196247.3755744402</v>
      </c>
      <c r="E40">
        <v>1161945.82938771</v>
      </c>
      <c r="F40">
        <v>3136042.0723499502</v>
      </c>
      <c r="G40">
        <v>394380.31507830002</v>
      </c>
      <c r="H40">
        <v>3580522.8796935901</v>
      </c>
      <c r="J40">
        <f t="shared" si="4"/>
        <v>38</v>
      </c>
      <c r="K40">
        <f t="shared" si="5"/>
        <v>7.1441412710951203E-7</v>
      </c>
      <c r="L40">
        <f t="shared" si="6"/>
        <v>5.9844197561711827E-5</v>
      </c>
      <c r="M40">
        <f t="shared" si="7"/>
        <v>1.4680797965069787E-5</v>
      </c>
      <c r="N40">
        <f t="shared" si="8"/>
        <v>7.7670175761210551E-6</v>
      </c>
      <c r="O40">
        <f t="shared" si="9"/>
        <v>2.0962848077205549E-5</v>
      </c>
      <c r="P40">
        <f t="shared" si="10"/>
        <v>2.6362320526624332E-6</v>
      </c>
      <c r="Q40">
        <f t="shared" si="11"/>
        <v>2.3933976468540042E-5</v>
      </c>
      <c r="V40">
        <f t="shared" si="12"/>
        <v>38</v>
      </c>
      <c r="W40">
        <f t="shared" si="1"/>
        <v>1.5463616941010809E-2</v>
      </c>
      <c r="X40">
        <f t="shared" si="2"/>
        <v>2.030539137630676E-3</v>
      </c>
      <c r="Y40">
        <f t="shared" si="3"/>
        <v>7.7670175761210551E-4</v>
      </c>
      <c r="Z40">
        <f>100*(P40/$T$5)</f>
        <v>1.7298110581774495E-4</v>
      </c>
      <c r="AA40">
        <f>100*(Q40/$T$6)</f>
        <v>4.5991499747386714E-4</v>
      </c>
    </row>
    <row r="41" spans="1:27" x14ac:dyDescent="0.3">
      <c r="A41">
        <v>936</v>
      </c>
      <c r="B41">
        <v>112578.12692892599</v>
      </c>
      <c r="C41">
        <v>9290929.1295042001</v>
      </c>
      <c r="D41">
        <v>2323604.2251138198</v>
      </c>
      <c r="E41">
        <v>1218166.8879559599</v>
      </c>
      <c r="F41">
        <v>3567886.8099321001</v>
      </c>
      <c r="G41">
        <v>415202.93498953403</v>
      </c>
      <c r="H41">
        <v>3727442.2329283399</v>
      </c>
      <c r="J41">
        <f t="shared" si="4"/>
        <v>39</v>
      </c>
      <c r="K41">
        <f t="shared" si="5"/>
        <v>7.5252758642330208E-7</v>
      </c>
      <c r="L41">
        <f t="shared" si="6"/>
        <v>6.2105141240001332E-5</v>
      </c>
      <c r="M41">
        <f t="shared" si="7"/>
        <v>1.5532113804236762E-5</v>
      </c>
      <c r="N41">
        <f t="shared" si="8"/>
        <v>8.1428267911494646E-6</v>
      </c>
      <c r="O41">
        <f t="shared" si="9"/>
        <v>2.3849510761578209E-5</v>
      </c>
      <c r="P41">
        <f t="shared" si="10"/>
        <v>2.7754206884327142E-6</v>
      </c>
      <c r="Q41">
        <f t="shared" si="11"/>
        <v>2.4916057706740238E-5</v>
      </c>
      <c r="V41">
        <f t="shared" si="12"/>
        <v>39</v>
      </c>
      <c r="W41">
        <f t="shared" si="1"/>
        <v>1.6047840113695432E-2</v>
      </c>
      <c r="X41">
        <f t="shared" si="2"/>
        <v>2.1482868332277677E-3</v>
      </c>
      <c r="Y41">
        <f t="shared" si="3"/>
        <v>8.1428267911494651E-4</v>
      </c>
      <c r="Z41">
        <f>100*(P41/$T$5)</f>
        <v>1.8211421840109673E-4</v>
      </c>
      <c r="AA41">
        <f>100*(Q41/$T$6)</f>
        <v>4.7878665846925902E-4</v>
      </c>
    </row>
    <row r="42" spans="1:27" x14ac:dyDescent="0.3">
      <c r="A42">
        <v>960</v>
      </c>
      <c r="B42">
        <v>118428.20928716099</v>
      </c>
      <c r="C42">
        <v>9615615.9620095398</v>
      </c>
      <c r="D42">
        <v>2455087.9383414299</v>
      </c>
      <c r="E42">
        <v>1276094.2108449501</v>
      </c>
      <c r="F42">
        <v>3991166.77031826</v>
      </c>
      <c r="G42">
        <v>436557.07000368898</v>
      </c>
      <c r="H42">
        <v>3947892.8971732301</v>
      </c>
      <c r="J42">
        <f t="shared" si="4"/>
        <v>40</v>
      </c>
      <c r="K42">
        <f t="shared" si="5"/>
        <v>7.9163241502112958E-7</v>
      </c>
      <c r="L42">
        <f t="shared" si="6"/>
        <v>6.4275507767443452E-5</v>
      </c>
      <c r="M42">
        <f t="shared" si="7"/>
        <v>1.641101563062453E-5</v>
      </c>
      <c r="N42">
        <f t="shared" si="8"/>
        <v>8.5300415163432498E-6</v>
      </c>
      <c r="O42">
        <f t="shared" si="9"/>
        <v>2.6678922261485694E-5</v>
      </c>
      <c r="P42">
        <f t="shared" si="10"/>
        <v>2.9181622326449797E-6</v>
      </c>
      <c r="Q42">
        <f t="shared" si="11"/>
        <v>2.6389658403564373E-5</v>
      </c>
      <c r="V42">
        <f t="shared" si="12"/>
        <v>40</v>
      </c>
      <c r="W42">
        <f t="shared" si="1"/>
        <v>1.6608658337840684E-2</v>
      </c>
      <c r="X42">
        <f t="shared" si="2"/>
        <v>2.2698500180670165E-3</v>
      </c>
      <c r="Y42">
        <f t="shared" si="3"/>
        <v>8.5300415163432498E-4</v>
      </c>
      <c r="Z42">
        <f>100*(P42/$T$5)</f>
        <v>1.9148046145964432E-4</v>
      </c>
      <c r="AA42">
        <f>100*(Q42/$T$6)</f>
        <v>5.0710335133674817E-4</v>
      </c>
    </row>
    <row r="43" spans="1:27" x14ac:dyDescent="0.3">
      <c r="A43">
        <v>984</v>
      </c>
      <c r="B43">
        <v>124426.610080675</v>
      </c>
      <c r="C43">
        <v>9926576.0398831796</v>
      </c>
      <c r="D43">
        <v>2590727.4384888499</v>
      </c>
      <c r="E43">
        <v>1336279.7409937701</v>
      </c>
      <c r="F43">
        <v>4386919.4157721596</v>
      </c>
      <c r="G43">
        <v>458442.98576627701</v>
      </c>
      <c r="H43">
        <v>4074782.95798286</v>
      </c>
      <c r="J43">
        <f t="shared" si="4"/>
        <v>41</v>
      </c>
      <c r="K43">
        <f t="shared" si="5"/>
        <v>8.3172867700985964E-7</v>
      </c>
      <c r="L43">
        <f t="shared" si="6"/>
        <v>6.635411791365762E-5</v>
      </c>
      <c r="M43">
        <f t="shared" si="7"/>
        <v>1.7317696781342579E-5</v>
      </c>
      <c r="N43">
        <f t="shared" si="8"/>
        <v>8.9323512098514034E-6</v>
      </c>
      <c r="O43">
        <f t="shared" si="9"/>
        <v>2.9324327645535827E-5</v>
      </c>
      <c r="P43">
        <f t="shared" si="10"/>
        <v>3.0644584610045253E-6</v>
      </c>
      <c r="Q43">
        <f t="shared" si="11"/>
        <v>2.7237853997211632E-5</v>
      </c>
      <c r="V43">
        <f t="shared" si="12"/>
        <v>41</v>
      </c>
      <c r="W43">
        <f t="shared" si="1"/>
        <v>1.7145766902753906E-2</v>
      </c>
      <c r="X43">
        <f t="shared" si="2"/>
        <v>2.3952554331040914E-3</v>
      </c>
      <c r="Y43">
        <f t="shared" si="3"/>
        <v>8.9323512098514034E-4</v>
      </c>
      <c r="Z43">
        <f>100*(P43/$T$5)</f>
        <v>2.010799515094833E-4</v>
      </c>
      <c r="AA43">
        <f>100*(Q43/$T$6)</f>
        <v>5.2340226743296755E-4</v>
      </c>
    </row>
    <row r="44" spans="1:27" x14ac:dyDescent="0.3">
      <c r="A44">
        <v>1008</v>
      </c>
      <c r="B44">
        <v>130573.338846557</v>
      </c>
      <c r="C44">
        <v>10223796.362102</v>
      </c>
      <c r="D44">
        <v>2730549.1033692001</v>
      </c>
      <c r="E44">
        <v>1399367.8545914299</v>
      </c>
      <c r="F44">
        <v>4737068.3025520202</v>
      </c>
      <c r="G44">
        <v>480860.835501594</v>
      </c>
      <c r="H44">
        <v>4202209.0206601303</v>
      </c>
      <c r="J44">
        <f t="shared" si="4"/>
        <v>42</v>
      </c>
      <c r="K44">
        <f t="shared" si="5"/>
        <v>8.7281643614008691E-7</v>
      </c>
      <c r="L44">
        <f t="shared" si="6"/>
        <v>6.8340884773409092E-5</v>
      </c>
      <c r="M44">
        <f t="shared" si="7"/>
        <v>1.8252333578671126E-5</v>
      </c>
      <c r="N44">
        <f t="shared" si="8"/>
        <v>9.3540631991405744E-6</v>
      </c>
      <c r="O44">
        <f t="shared" si="9"/>
        <v>3.1664895070534895E-5</v>
      </c>
      <c r="P44">
        <f t="shared" si="10"/>
        <v>3.2143103977379277E-6</v>
      </c>
      <c r="Q44">
        <f t="shared" si="11"/>
        <v>2.8089632491043652E-5</v>
      </c>
      <c r="V44">
        <f t="shared" si="12"/>
        <v>42</v>
      </c>
      <c r="W44">
        <f t="shared" si="1"/>
        <v>1.7659143352302089E-2</v>
      </c>
      <c r="X44">
        <f t="shared" si="2"/>
        <v>2.5245274659296164E-3</v>
      </c>
      <c r="Y44">
        <f t="shared" si="3"/>
        <v>9.3540631991405744E-4</v>
      </c>
      <c r="Z44">
        <f>100*(P44/$T$5)</f>
        <v>2.1091275575708186E-4</v>
      </c>
      <c r="AA44">
        <f>100*(Q44/$T$6)</f>
        <v>5.3977003249507398E-4</v>
      </c>
    </row>
    <row r="45" spans="1:27" x14ac:dyDescent="0.3">
      <c r="A45">
        <v>1032</v>
      </c>
      <c r="B45">
        <v>136868.40504515599</v>
      </c>
      <c r="C45">
        <v>10507396.208726401</v>
      </c>
      <c r="D45">
        <v>2874576.6593440399</v>
      </c>
      <c r="E45">
        <v>1465998.6351326101</v>
      </c>
      <c r="F45">
        <v>5026487.1322551304</v>
      </c>
      <c r="G45">
        <v>503810.73225915298</v>
      </c>
      <c r="H45">
        <v>4222234.8496626299</v>
      </c>
      <c r="J45">
        <f t="shared" si="4"/>
        <v>43</v>
      </c>
      <c r="K45">
        <f t="shared" si="5"/>
        <v>9.1489575564943845E-7</v>
      </c>
      <c r="L45">
        <f t="shared" si="6"/>
        <v>7.0236605673304814E-5</v>
      </c>
      <c r="M45">
        <f t="shared" si="7"/>
        <v>1.9215084621283689E-5</v>
      </c>
      <c r="N45">
        <f t="shared" si="8"/>
        <v>9.7994561171965912E-6</v>
      </c>
      <c r="O45">
        <f t="shared" si="9"/>
        <v>3.3599512916143919E-5</v>
      </c>
      <c r="P45">
        <f t="shared" si="10"/>
        <v>3.3677187985237499E-6</v>
      </c>
      <c r="Q45">
        <f t="shared" si="11"/>
        <v>2.8223494984375869E-5</v>
      </c>
      <c r="V45">
        <f t="shared" si="12"/>
        <v>43</v>
      </c>
      <c r="W45">
        <f t="shared" si="1"/>
        <v>1.8148993714032252E-2</v>
      </c>
      <c r="X45">
        <f t="shared" si="2"/>
        <v>2.6576880527363336E-3</v>
      </c>
      <c r="Y45">
        <f t="shared" si="3"/>
        <v>9.7994561171965916E-4</v>
      </c>
      <c r="Z45">
        <f>100*(P45/$T$5)</f>
        <v>2.209789237876476E-4</v>
      </c>
      <c r="AA45">
        <f>100*(Q45/$T$6)</f>
        <v>5.4234233252067388E-4</v>
      </c>
    </row>
    <row r="46" spans="1:27" x14ac:dyDescent="0.3">
      <c r="A46">
        <v>1056</v>
      </c>
      <c r="B46">
        <v>143311.81812617401</v>
      </c>
      <c r="C46">
        <v>10777599.7366831</v>
      </c>
      <c r="D46">
        <v>3022831.0726339198</v>
      </c>
      <c r="E46">
        <v>1536695.91608524</v>
      </c>
      <c r="F46">
        <v>5244551.9947127299</v>
      </c>
      <c r="G46">
        <v>527292.885438108</v>
      </c>
      <c r="H46">
        <v>4263729.0796441101</v>
      </c>
      <c r="J46">
        <f t="shared" si="4"/>
        <v>44</v>
      </c>
      <c r="K46">
        <f t="shared" si="5"/>
        <v>9.5796669870437172E-7</v>
      </c>
      <c r="L46">
        <f t="shared" si="6"/>
        <v>7.2042778988523398E-5</v>
      </c>
      <c r="M46">
        <f t="shared" si="7"/>
        <v>2.0206090057713368E-5</v>
      </c>
      <c r="N46">
        <f t="shared" si="8"/>
        <v>1.0272031524633956E-5</v>
      </c>
      <c r="O46">
        <f t="shared" si="9"/>
        <v>3.5057165740058356E-5</v>
      </c>
      <c r="P46">
        <f t="shared" si="10"/>
        <v>3.5246850630889571E-6</v>
      </c>
      <c r="Q46">
        <f t="shared" si="11"/>
        <v>2.8500862831845656E-5</v>
      </c>
      <c r="V46">
        <f t="shared" si="12"/>
        <v>44</v>
      </c>
      <c r="W46">
        <f t="shared" si="1"/>
        <v>1.8615705164993127E-2</v>
      </c>
      <c r="X46">
        <f t="shared" si="2"/>
        <v>2.7947565778303415E-3</v>
      </c>
      <c r="Y46">
        <f t="shared" si="3"/>
        <v>1.0272031524633956E-3</v>
      </c>
      <c r="Z46">
        <f>100*(P46/$T$5)</f>
        <v>2.3127854744678193E-4</v>
      </c>
      <c r="AA46">
        <f>100*(Q46/$T$6)</f>
        <v>5.4767222966651923E-4</v>
      </c>
    </row>
    <row r="47" spans="1:27" x14ac:dyDescent="0.3">
      <c r="A47">
        <v>1080</v>
      </c>
      <c r="B47">
        <v>149903.58760366301</v>
      </c>
      <c r="C47">
        <v>11034712.534742501</v>
      </c>
      <c r="D47">
        <v>3175330.4575439398</v>
      </c>
      <c r="E47">
        <v>1611781.4945589399</v>
      </c>
      <c r="F47">
        <v>5385592.9519450702</v>
      </c>
      <c r="G47">
        <v>551307.58985959599</v>
      </c>
      <c r="H47">
        <v>4215019.9839403499</v>
      </c>
      <c r="J47">
        <f t="shared" si="4"/>
        <v>45</v>
      </c>
      <c r="K47">
        <f t="shared" si="5"/>
        <v>1.0020293289014908E-6</v>
      </c>
      <c r="L47">
        <f t="shared" si="6"/>
        <v>7.3761447424749337E-5</v>
      </c>
      <c r="M47">
        <f t="shared" si="7"/>
        <v>2.1225470972887298E-5</v>
      </c>
      <c r="N47">
        <f t="shared" si="8"/>
        <v>1.0773940471650667E-5</v>
      </c>
      <c r="O47">
        <f t="shared" si="9"/>
        <v>3.5999952887333355E-5</v>
      </c>
      <c r="P47">
        <f t="shared" si="10"/>
        <v>3.6852111621630749E-6</v>
      </c>
      <c r="Q47">
        <f t="shared" si="11"/>
        <v>2.817526727232854E-5</v>
      </c>
      <c r="V47">
        <f t="shared" si="12"/>
        <v>45</v>
      </c>
      <c r="W47">
        <f t="shared" si="1"/>
        <v>1.9059805536110939E-2</v>
      </c>
      <c r="X47">
        <f t="shared" si="2"/>
        <v>2.9357497887810926E-3</v>
      </c>
      <c r="Y47">
        <f t="shared" si="3"/>
        <v>1.0773940471650667E-3</v>
      </c>
      <c r="Z47">
        <f>100*(P47/$T$5)</f>
        <v>2.4181175604744587E-4</v>
      </c>
      <c r="AA47">
        <f>100*(Q47/$T$6)</f>
        <v>5.4141558939908797E-4</v>
      </c>
    </row>
    <row r="48" spans="1:27" x14ac:dyDescent="0.3">
      <c r="A48">
        <v>1104</v>
      </c>
      <c r="B48">
        <v>156643.72308599501</v>
      </c>
      <c r="C48">
        <v>11279102.0449892</v>
      </c>
      <c r="D48">
        <v>3332089.9846926401</v>
      </c>
      <c r="E48">
        <v>1691341.7132012499</v>
      </c>
      <c r="F48">
        <v>5448242.2708418397</v>
      </c>
      <c r="G48">
        <v>575855.14515788795</v>
      </c>
      <c r="H48">
        <v>4281477.2177882697</v>
      </c>
      <c r="J48">
        <f t="shared" si="4"/>
        <v>46</v>
      </c>
      <c r="K48">
        <f t="shared" si="5"/>
        <v>1.047083710467881E-6</v>
      </c>
      <c r="L48">
        <f t="shared" si="6"/>
        <v>7.5395067145649737E-5</v>
      </c>
      <c r="M48">
        <f t="shared" si="7"/>
        <v>2.2273328774683424E-5</v>
      </c>
      <c r="N48">
        <f t="shared" si="8"/>
        <v>1.1305760114981617E-5</v>
      </c>
      <c r="O48">
        <f t="shared" si="9"/>
        <v>3.6418731756964169E-5</v>
      </c>
      <c r="P48">
        <f t="shared" si="10"/>
        <v>3.8492990986489836E-6</v>
      </c>
      <c r="Q48">
        <f t="shared" si="11"/>
        <v>2.8619500118905546E-5</v>
      </c>
      <c r="V48">
        <f t="shared" si="12"/>
        <v>46</v>
      </c>
      <c r="W48">
        <f t="shared" si="1"/>
        <v>1.9481929494999932E-2</v>
      </c>
      <c r="X48">
        <f t="shared" si="2"/>
        <v>3.0806817115744713E-3</v>
      </c>
      <c r="Y48">
        <f t="shared" si="3"/>
        <v>1.1305760114981617E-3</v>
      </c>
      <c r="Z48">
        <f>100*(P48/$T$5)</f>
        <v>2.5257868101371281E-4</v>
      </c>
      <c r="AA48">
        <f>100*(Q48/$T$6)</f>
        <v>5.4995196231563312E-4</v>
      </c>
    </row>
    <row r="49" spans="1:27" x14ac:dyDescent="0.3">
      <c r="A49">
        <v>1128</v>
      </c>
      <c r="B49">
        <v>163532.234182079</v>
      </c>
      <c r="C49">
        <v>11511181.562902801</v>
      </c>
      <c r="D49">
        <v>3493121.7965538199</v>
      </c>
      <c r="E49">
        <v>1775244.7734062001</v>
      </c>
      <c r="F49">
        <v>5434147.7469075602</v>
      </c>
      <c r="G49">
        <v>600935.845966817</v>
      </c>
      <c r="H49">
        <v>4425978.0664870702</v>
      </c>
      <c r="J49">
        <f t="shared" si="4"/>
        <v>47</v>
      </c>
      <c r="K49">
        <f t="shared" si="5"/>
        <v>1.093129907634218E-6</v>
      </c>
      <c r="L49">
        <f t="shared" si="6"/>
        <v>7.6946400821542791E-5</v>
      </c>
      <c r="M49">
        <f t="shared" si="7"/>
        <v>2.3349744629370455E-5</v>
      </c>
      <c r="N49">
        <f t="shared" si="8"/>
        <v>1.1866609447902407E-5</v>
      </c>
      <c r="O49">
        <f t="shared" si="9"/>
        <v>3.6324517024783155E-5</v>
      </c>
      <c r="P49">
        <f t="shared" si="10"/>
        <v>4.0169508420241777E-6</v>
      </c>
      <c r="Q49">
        <f t="shared" si="11"/>
        <v>2.9585414882934962E-5</v>
      </c>
      <c r="V49">
        <f t="shared" si="12"/>
        <v>47</v>
      </c>
      <c r="W49">
        <f t="shared" si="1"/>
        <v>1.988279090995938E-2</v>
      </c>
      <c r="X49">
        <f t="shared" si="2"/>
        <v>3.229563572527034E-3</v>
      </c>
      <c r="Y49">
        <f t="shared" si="3"/>
        <v>1.1866609447902408E-3</v>
      </c>
      <c r="Z49">
        <f>100*(P49/$T$5)</f>
        <v>2.6357945157638962E-4</v>
      </c>
      <c r="AA49">
        <f>100*(Q49/$T$6)</f>
        <v>5.6851296854217839E-4</v>
      </c>
    </row>
    <row r="50" spans="1:27" x14ac:dyDescent="0.3">
      <c r="A50">
        <v>1152</v>
      </c>
      <c r="B50">
        <v>170569.13048600801</v>
      </c>
      <c r="C50">
        <v>11731397.4242507</v>
      </c>
      <c r="D50">
        <v>3658434.9333976698</v>
      </c>
      <c r="E50">
        <v>1863188.16346262</v>
      </c>
      <c r="F50">
        <v>5346620.1612270102</v>
      </c>
      <c r="G50">
        <v>626550.09971274098</v>
      </c>
      <c r="H50">
        <v>4533252.5530360099</v>
      </c>
      <c r="J50">
        <f t="shared" si="4"/>
        <v>48</v>
      </c>
      <c r="K50">
        <f t="shared" si="5"/>
        <v>1.1401679845321391E-6</v>
      </c>
      <c r="L50">
        <f t="shared" si="6"/>
        <v>7.8418431980285425E-5</v>
      </c>
      <c r="M50">
        <f t="shared" si="7"/>
        <v>2.4454778966561963E-5</v>
      </c>
      <c r="N50">
        <f t="shared" si="8"/>
        <v>1.2454466333306283E-5</v>
      </c>
      <c r="O50">
        <f t="shared" si="9"/>
        <v>3.5739439580394455E-5</v>
      </c>
      <c r="P50">
        <f t="shared" si="10"/>
        <v>4.1881691157268778E-6</v>
      </c>
      <c r="Q50">
        <f t="shared" si="11"/>
        <v>3.0302490327780815E-5</v>
      </c>
      <c r="V50">
        <f t="shared" si="12"/>
        <v>48</v>
      </c>
      <c r="W50">
        <f t="shared" si="1"/>
        <v>2.0263160718420006E-2</v>
      </c>
      <c r="X50">
        <f t="shared" si="2"/>
        <v>3.3824037298149324E-3</v>
      </c>
      <c r="Y50">
        <f t="shared" si="3"/>
        <v>1.2454466333306283E-3</v>
      </c>
      <c r="Z50">
        <f>100*(P50/$T$5)</f>
        <v>2.7481424643877153E-4</v>
      </c>
      <c r="AA50">
        <f>100*(Q50/$T$6)</f>
        <v>5.8229228147157607E-4</v>
      </c>
    </row>
    <row r="51" spans="1:27" x14ac:dyDescent="0.3">
      <c r="A51">
        <v>1176</v>
      </c>
      <c r="B51">
        <v>177754.42182599599</v>
      </c>
      <c r="C51">
        <v>11940218.948937999</v>
      </c>
      <c r="D51">
        <v>3828035.26477353</v>
      </c>
      <c r="E51">
        <v>1954753.69598832</v>
      </c>
      <c r="F51">
        <v>5189595.5443283599</v>
      </c>
      <c r="G51">
        <v>652698.445183084</v>
      </c>
      <c r="H51">
        <v>4651433.7757727802</v>
      </c>
      <c r="J51">
        <f t="shared" si="4"/>
        <v>49</v>
      </c>
      <c r="K51">
        <f t="shared" si="5"/>
        <v>1.1881980068582619E-6</v>
      </c>
      <c r="L51">
        <f t="shared" si="6"/>
        <v>7.9814297787018709E-5</v>
      </c>
      <c r="M51">
        <f t="shared" si="7"/>
        <v>2.5588471021213437E-5</v>
      </c>
      <c r="N51">
        <f t="shared" si="8"/>
        <v>1.3066535400991443E-5</v>
      </c>
      <c r="O51">
        <f t="shared" si="9"/>
        <v>3.4689809788291178E-5</v>
      </c>
      <c r="P51">
        <f t="shared" si="10"/>
        <v>4.3629575212772991E-6</v>
      </c>
      <c r="Q51">
        <f t="shared" si="11"/>
        <v>3.1092471763187034E-5</v>
      </c>
      <c r="V51">
        <f t="shared" si="12"/>
        <v>49</v>
      </c>
      <c r="W51">
        <f t="shared" si="1"/>
        <v>2.0623849557369175E-2</v>
      </c>
      <c r="X51">
        <f t="shared" si="2"/>
        <v>3.5392076101263396E-3</v>
      </c>
      <c r="Y51">
        <f t="shared" si="3"/>
        <v>1.3066535400991443E-3</v>
      </c>
      <c r="Z51">
        <f>100*(P51/$T$5)</f>
        <v>2.8628330192108261E-4</v>
      </c>
      <c r="AA51">
        <f>100*(Q51/$T$6)</f>
        <v>5.9747255501896692E-4</v>
      </c>
    </row>
    <row r="52" spans="1:27" x14ac:dyDescent="0.3">
      <c r="A52">
        <v>1200</v>
      </c>
      <c r="B52">
        <v>185088.11796151701</v>
      </c>
      <c r="C52">
        <v>12138130.721014</v>
      </c>
      <c r="D52">
        <v>4001925.42262288</v>
      </c>
      <c r="E52">
        <v>2049456.3746919399</v>
      </c>
      <c r="F52">
        <v>4967039.5011805203</v>
      </c>
      <c r="G52">
        <v>679381.41340520605</v>
      </c>
      <c r="H52">
        <v>4695003.6829921296</v>
      </c>
      <c r="J52">
        <f t="shared" si="4"/>
        <v>50</v>
      </c>
      <c r="K52">
        <f t="shared" si="5"/>
        <v>1.2372200398497127E-6</v>
      </c>
      <c r="L52">
        <f t="shared" si="6"/>
        <v>8.1137237439933159E-5</v>
      </c>
      <c r="M52">
        <f t="shared" si="7"/>
        <v>2.6750838386516579E-5</v>
      </c>
      <c r="N52">
        <f t="shared" si="8"/>
        <v>1.3699574697138637E-5</v>
      </c>
      <c r="O52">
        <f t="shared" si="9"/>
        <v>3.3202135703078344E-5</v>
      </c>
      <c r="P52">
        <f t="shared" si="10"/>
        <v>4.54131960832357E-6</v>
      </c>
      <c r="Q52">
        <f t="shared" si="11"/>
        <v>3.1383714458503543E-5</v>
      </c>
      <c r="V52">
        <f t="shared" si="12"/>
        <v>50</v>
      </c>
      <c r="W52">
        <f t="shared" si="1"/>
        <v>2.0965694428923296E-2</v>
      </c>
      <c r="X52">
        <f t="shared" si="2"/>
        <v>3.6999776468211042E-3</v>
      </c>
      <c r="Y52">
        <f t="shared" si="3"/>
        <v>1.3699574697138637E-3</v>
      </c>
      <c r="Z52">
        <f>100*(P52/$T$5)</f>
        <v>2.9798685093986678E-4</v>
      </c>
      <c r="AA52">
        <f>100*(Q52/$T$6)</f>
        <v>6.0306907107039861E-4</v>
      </c>
    </row>
    <row r="53" spans="1:27" x14ac:dyDescent="0.3">
      <c r="A53">
        <v>1224</v>
      </c>
      <c r="B53">
        <v>192570.228756575</v>
      </c>
      <c r="C53">
        <v>12325626.8108046</v>
      </c>
      <c r="D53">
        <v>4180104.7498282702</v>
      </c>
      <c r="E53">
        <v>2146782.87846433</v>
      </c>
      <c r="F53">
        <v>4682749.3415754996</v>
      </c>
      <c r="G53">
        <v>706599.39286336605</v>
      </c>
      <c r="H53">
        <v>4787949.0957487002</v>
      </c>
      <c r="J53">
        <f t="shared" si="4"/>
        <v>51</v>
      </c>
      <c r="K53">
        <f t="shared" si="5"/>
        <v>1.2872341494423463E-6</v>
      </c>
      <c r="L53">
        <f t="shared" si="6"/>
        <v>8.2390553548159095E-5</v>
      </c>
      <c r="M53">
        <f t="shared" si="7"/>
        <v>2.7941876669975067E-5</v>
      </c>
      <c r="N53">
        <f t="shared" si="8"/>
        <v>1.4350152930911297E-5</v>
      </c>
      <c r="O53">
        <f t="shared" si="9"/>
        <v>3.1301800411600935E-5</v>
      </c>
      <c r="P53">
        <f t="shared" si="10"/>
        <v>4.7232579736856021E-6</v>
      </c>
      <c r="Q53">
        <f t="shared" si="11"/>
        <v>3.2005007324523396E-5</v>
      </c>
      <c r="V53">
        <f t="shared" si="12"/>
        <v>51</v>
      </c>
      <c r="W53">
        <f t="shared" si="1"/>
        <v>2.1289548720454545E-2</v>
      </c>
      <c r="X53">
        <f t="shared" si="2"/>
        <v>3.8647132323616968E-3</v>
      </c>
      <c r="Y53">
        <f t="shared" si="3"/>
        <v>1.4350152930911297E-3</v>
      </c>
      <c r="Z53">
        <f>100*(P53/$T$5)</f>
        <v>3.0992506389013137E-4</v>
      </c>
      <c r="AA53">
        <f>100*(Q53/$T$6)</f>
        <v>6.1500782714303222E-4</v>
      </c>
    </row>
    <row r="54" spans="1:27" x14ac:dyDescent="0.3">
      <c r="A54">
        <v>1248</v>
      </c>
      <c r="B54">
        <v>200200.764136218</v>
      </c>
      <c r="C54">
        <v>12503206.591396101</v>
      </c>
      <c r="D54">
        <v>4362569.2508624</v>
      </c>
      <c r="E54">
        <v>2246221.0893717199</v>
      </c>
      <c r="F54">
        <v>4340448.9119800702</v>
      </c>
      <c r="G54">
        <v>734352.70500526705</v>
      </c>
      <c r="H54">
        <v>4794892.9796001697</v>
      </c>
      <c r="J54">
        <f t="shared" si="4"/>
        <v>52</v>
      </c>
      <c r="K54">
        <f t="shared" si="5"/>
        <v>1.3382404019800667E-6</v>
      </c>
      <c r="L54">
        <f t="shared" si="6"/>
        <v>8.3577584167086235E-5</v>
      </c>
      <c r="M54">
        <f t="shared" si="7"/>
        <v>2.9161559163518718E-5</v>
      </c>
      <c r="N54">
        <f t="shared" si="8"/>
        <v>1.5014846854089036E-5</v>
      </c>
      <c r="O54">
        <f t="shared" si="9"/>
        <v>2.9013695935695656E-5</v>
      </c>
      <c r="P54">
        <f t="shared" si="10"/>
        <v>4.9087747660779885E-6</v>
      </c>
      <c r="Q54">
        <f t="shared" si="11"/>
        <v>3.2051423660428938E-5</v>
      </c>
      <c r="V54">
        <f t="shared" si="12"/>
        <v>52</v>
      </c>
      <c r="W54">
        <f t="shared" si="1"/>
        <v>2.1596274978575254E-2</v>
      </c>
      <c r="X54">
        <f t="shared" si="2"/>
        <v>4.0334106726858526E-3</v>
      </c>
      <c r="Y54">
        <f t="shared" si="3"/>
        <v>1.5014846854089037E-3</v>
      </c>
      <c r="Z54">
        <f>100*(P54/$T$5)</f>
        <v>3.2209808176364755E-4</v>
      </c>
      <c r="AA54">
        <f>100*(Q54/$T$6)</f>
        <v>6.1589976288295423E-4</v>
      </c>
    </row>
    <row r="55" spans="1:27" x14ac:dyDescent="0.3">
      <c r="A55">
        <v>1272</v>
      </c>
      <c r="B55">
        <v>207979.73408668599</v>
      </c>
      <c r="C55">
        <v>12671371.8484696</v>
      </c>
      <c r="D55">
        <v>4549311.5444261599</v>
      </c>
      <c r="E55">
        <v>2347283.5284822499</v>
      </c>
      <c r="F55">
        <v>3944095.7776329899</v>
      </c>
      <c r="G55">
        <v>762641.78001870203</v>
      </c>
      <c r="H55">
        <v>4935101.3059202302</v>
      </c>
      <c r="J55">
        <f t="shared" si="4"/>
        <v>53</v>
      </c>
      <c r="K55">
        <f t="shared" si="5"/>
        <v>1.3902388642158155E-6</v>
      </c>
      <c r="L55">
        <f t="shared" si="6"/>
        <v>8.4701683479074865E-5</v>
      </c>
      <c r="M55">
        <f t="shared" si="7"/>
        <v>3.0409836526912833E-5</v>
      </c>
      <c r="N55">
        <f t="shared" si="8"/>
        <v>1.5690397917662098E-5</v>
      </c>
      <c r="O55">
        <f t="shared" si="9"/>
        <v>2.6364276588455813E-5</v>
      </c>
      <c r="P55">
        <f t="shared" si="10"/>
        <v>5.0978728610875803E-6</v>
      </c>
      <c r="Q55">
        <f t="shared" si="11"/>
        <v>3.2988645093049667E-5</v>
      </c>
      <c r="V55">
        <f t="shared" si="12"/>
        <v>53</v>
      </c>
      <c r="W55">
        <f t="shared" si="1"/>
        <v>2.1886739917073607E-2</v>
      </c>
      <c r="X55">
        <f t="shared" si="2"/>
        <v>4.2060631434180954E-3</v>
      </c>
      <c r="Y55">
        <f t="shared" si="3"/>
        <v>1.5690397917662098E-3</v>
      </c>
      <c r="Z55">
        <f>100*(P55/$T$5)</f>
        <v>3.3450609324721657E-4</v>
      </c>
      <c r="AA55">
        <f>100*(Q55/$T$6)</f>
        <v>6.3390939840602745E-4</v>
      </c>
    </row>
    <row r="56" spans="1:27" x14ac:dyDescent="0.3">
      <c r="A56">
        <v>1296</v>
      </c>
      <c r="B56">
        <v>215907.14865132599</v>
      </c>
      <c r="C56">
        <v>12830624.9289371</v>
      </c>
      <c r="D56">
        <v>4740320.8309937799</v>
      </c>
      <c r="E56">
        <v>2449526.5729141398</v>
      </c>
      <c r="F56">
        <v>3498419.6208150699</v>
      </c>
      <c r="G56">
        <v>791467.25011734199</v>
      </c>
      <c r="H56">
        <v>5142507.4157734998</v>
      </c>
      <c r="J56">
        <f t="shared" si="4"/>
        <v>54</v>
      </c>
      <c r="K56">
        <f t="shared" si="5"/>
        <v>1.4432296032842646E-6</v>
      </c>
      <c r="L56">
        <f t="shared" si="6"/>
        <v>8.576620941802874E-5</v>
      </c>
      <c r="M56">
        <f t="shared" si="7"/>
        <v>3.1686636570814034E-5</v>
      </c>
      <c r="N56">
        <f t="shared" si="8"/>
        <v>1.6373840728035692E-5</v>
      </c>
      <c r="O56">
        <f t="shared" si="9"/>
        <v>2.3385157893148863E-5</v>
      </c>
      <c r="P56">
        <f t="shared" si="10"/>
        <v>5.2905564847415908E-6</v>
      </c>
      <c r="Q56">
        <f t="shared" si="11"/>
        <v>3.4375049570678476E-5</v>
      </c>
      <c r="V56">
        <f t="shared" si="12"/>
        <v>54</v>
      </c>
      <c r="W56">
        <f t="shared" si="1"/>
        <v>2.2161811219128875E-2</v>
      </c>
      <c r="X56">
        <f t="shared" si="2"/>
        <v>4.382660659863629E-3</v>
      </c>
      <c r="Y56">
        <f t="shared" si="3"/>
        <v>1.6373840728035691E-3</v>
      </c>
      <c r="Z56">
        <f>100*(P56/$T$5)</f>
        <v>3.47149375639212E-4</v>
      </c>
      <c r="AA56">
        <f>100*(Q56/$T$6)</f>
        <v>6.6055052979781855E-4</v>
      </c>
    </row>
    <row r="57" spans="1:27" x14ac:dyDescent="0.3">
      <c r="A57">
        <v>1320</v>
      </c>
      <c r="B57">
        <v>223983.01792776401</v>
      </c>
      <c r="C57">
        <v>12981467.7176769</v>
      </c>
      <c r="D57">
        <v>4935582.8614219502</v>
      </c>
      <c r="E57">
        <v>2552565.62190409</v>
      </c>
      <c r="F57">
        <v>3009942.1604244802</v>
      </c>
      <c r="G57">
        <v>820829.83939425903</v>
      </c>
      <c r="H57">
        <v>5328363.0985054802</v>
      </c>
      <c r="J57">
        <f t="shared" si="4"/>
        <v>55</v>
      </c>
      <c r="K57">
        <f t="shared" si="5"/>
        <v>1.4972126866829145E-6</v>
      </c>
      <c r="L57">
        <f t="shared" si="6"/>
        <v>8.6774516829391044E-5</v>
      </c>
      <c r="M57">
        <f t="shared" si="7"/>
        <v>3.2991864046938168E-5</v>
      </c>
      <c r="N57">
        <f t="shared" si="8"/>
        <v>1.706260442449258E-5</v>
      </c>
      <c r="O57">
        <f t="shared" si="9"/>
        <v>2.0119934227436366E-5</v>
      </c>
      <c r="P57">
        <f t="shared" si="10"/>
        <v>5.486830477234352E-6</v>
      </c>
      <c r="Q57">
        <f t="shared" si="11"/>
        <v>3.561740039107941E-5</v>
      </c>
      <c r="V57">
        <f t="shared" si="12"/>
        <v>55</v>
      </c>
      <c r="W57">
        <f t="shared" si="1"/>
        <v>2.2422355769868486E-2</v>
      </c>
      <c r="X57">
        <f t="shared" si="2"/>
        <v>4.5631900479859155E-3</v>
      </c>
      <c r="Y57">
        <f t="shared" si="3"/>
        <v>1.706260442449258E-3</v>
      </c>
      <c r="Z57">
        <f>100*(P57/$T$5)</f>
        <v>3.6002824653768716E-4</v>
      </c>
      <c r="AA57">
        <f>100*(Q57/$T$6)</f>
        <v>6.8442352788392405E-4</v>
      </c>
    </row>
    <row r="58" spans="1:27" x14ac:dyDescent="0.3">
      <c r="A58">
        <v>1344</v>
      </c>
      <c r="B58">
        <v>232207.352064234</v>
      </c>
      <c r="C58">
        <v>13124401.271915499</v>
      </c>
      <c r="D58">
        <v>5135079.9130050503</v>
      </c>
      <c r="E58">
        <v>2656085.1763978498</v>
      </c>
      <c r="F58">
        <v>2489357.4375805999</v>
      </c>
      <c r="G58">
        <v>850730.19799834501</v>
      </c>
      <c r="H58">
        <v>5490741.6673351601</v>
      </c>
      <c r="J58">
        <f t="shared" si="4"/>
        <v>56</v>
      </c>
      <c r="K58">
        <f t="shared" si="5"/>
        <v>1.5521881822475535E-6</v>
      </c>
      <c r="L58">
        <f t="shared" si="6"/>
        <v>8.772995502617312E-5</v>
      </c>
      <c r="M58">
        <f t="shared" si="7"/>
        <v>3.432540048800167E-5</v>
      </c>
      <c r="N58">
        <f t="shared" si="8"/>
        <v>1.775458005613536E-5</v>
      </c>
      <c r="O58">
        <f t="shared" si="9"/>
        <v>1.6640089823399732E-5</v>
      </c>
      <c r="P58">
        <f t="shared" si="10"/>
        <v>5.6866991844809162E-6</v>
      </c>
      <c r="Q58">
        <f t="shared" si="11"/>
        <v>3.6702818631919518E-5</v>
      </c>
      <c r="V58">
        <f t="shared" si="12"/>
        <v>56</v>
      </c>
      <c r="W58">
        <f t="shared" si="1"/>
        <v>2.2669239024850935E-2</v>
      </c>
      <c r="X58">
        <f t="shared" si="2"/>
        <v>4.7476349222685581E-3</v>
      </c>
      <c r="Y58">
        <f t="shared" si="3"/>
        <v>1.7754580056135361E-3</v>
      </c>
      <c r="Z58">
        <f>100*(P58/$T$5)</f>
        <v>3.7314299110767165E-4</v>
      </c>
      <c r="AA58">
        <f>100*(Q58/$T$6)</f>
        <v>7.0528091145118218E-4</v>
      </c>
    </row>
    <row r="59" spans="1:27" x14ac:dyDescent="0.3">
      <c r="A59">
        <v>1368</v>
      </c>
      <c r="B59">
        <v>240580.16124916999</v>
      </c>
      <c r="C59">
        <v>13259925.971445199</v>
      </c>
      <c r="D59">
        <v>5338790.7720212797</v>
      </c>
      <c r="E59">
        <v>2759842.6042943001</v>
      </c>
      <c r="F59">
        <v>1958226.7482505101</v>
      </c>
      <c r="G59">
        <v>881168.89225133695</v>
      </c>
      <c r="H59">
        <v>5562789.1886683702</v>
      </c>
      <c r="J59">
        <f t="shared" si="4"/>
        <v>57</v>
      </c>
      <c r="K59">
        <f t="shared" si="5"/>
        <v>1.608156158082687E-6</v>
      </c>
      <c r="L59">
        <f t="shared" si="6"/>
        <v>8.863586879308288E-5</v>
      </c>
      <c r="M59">
        <f t="shared" si="7"/>
        <v>3.5687104091051336E-5</v>
      </c>
      <c r="N59">
        <f t="shared" si="8"/>
        <v>1.8448145750630349E-5</v>
      </c>
      <c r="O59">
        <f t="shared" si="9"/>
        <v>1.3089750990979345E-5</v>
      </c>
      <c r="P59">
        <f t="shared" si="10"/>
        <v>5.8901663920543914E-6</v>
      </c>
      <c r="Q59">
        <f t="shared" si="11"/>
        <v>3.7184419710350068E-5</v>
      </c>
      <c r="V59">
        <f t="shared" si="12"/>
        <v>57</v>
      </c>
      <c r="W59">
        <f t="shared" si="1"/>
        <v>2.2903325269530459E-2</v>
      </c>
      <c r="X59">
        <f t="shared" si="2"/>
        <v>4.9359756695783316E-3</v>
      </c>
      <c r="Y59">
        <f t="shared" si="3"/>
        <v>1.8448145750630349E-3</v>
      </c>
      <c r="Z59">
        <f>100*(P59/$T$5)</f>
        <v>3.8649385774635112E-4</v>
      </c>
      <c r="AA59">
        <f>100*(Q59/$T$6)</f>
        <v>7.1453535185146179E-4</v>
      </c>
    </row>
    <row r="60" spans="1:27" x14ac:dyDescent="0.3">
      <c r="A60">
        <v>1392</v>
      </c>
      <c r="B60">
        <v>249101.45571915101</v>
      </c>
      <c r="C60">
        <v>13388542.0757511</v>
      </c>
      <c r="D60">
        <v>5546690.72107461</v>
      </c>
      <c r="E60">
        <v>2863665.18383156</v>
      </c>
      <c r="F60">
        <v>1470380.0588422101</v>
      </c>
      <c r="G60">
        <v>912146.51451110397</v>
      </c>
      <c r="H60">
        <v>5655073.9945297902</v>
      </c>
      <c r="J60">
        <f t="shared" si="4"/>
        <v>58</v>
      </c>
      <c r="K60">
        <f t="shared" si="5"/>
        <v>1.6651166826146458E-6</v>
      </c>
      <c r="L60">
        <f t="shared" si="6"/>
        <v>8.9495602110635693E-5</v>
      </c>
      <c r="M60">
        <f t="shared" si="7"/>
        <v>3.7076809632851669E-5</v>
      </c>
      <c r="N60">
        <f t="shared" si="8"/>
        <v>1.9142146950745721E-5</v>
      </c>
      <c r="O60">
        <f t="shared" si="9"/>
        <v>9.8287437088383028E-6</v>
      </c>
      <c r="P60">
        <f t="shared" si="10"/>
        <v>6.0972360595662029E-6</v>
      </c>
      <c r="Q60">
        <f t="shared" si="11"/>
        <v>3.7801296754878279E-5</v>
      </c>
      <c r="V60">
        <f t="shared" si="12"/>
        <v>58</v>
      </c>
      <c r="W60">
        <f t="shared" si="1"/>
        <v>2.3125478581559611E-2</v>
      </c>
      <c r="X60">
        <f t="shared" si="2"/>
        <v>5.128189437462195E-3</v>
      </c>
      <c r="Y60">
        <f t="shared" si="3"/>
        <v>1.9142146950745721E-3</v>
      </c>
      <c r="Z60">
        <f>100*(P60/$T$5)</f>
        <v>4.0008110627074822E-4</v>
      </c>
      <c r="AA60">
        <f>100*(Q60/$T$6)</f>
        <v>7.2638925355261882E-4</v>
      </c>
    </row>
    <row r="61" spans="1:27" x14ac:dyDescent="0.3">
      <c r="A61">
        <v>1416</v>
      </c>
      <c r="B61">
        <v>257771.24573803201</v>
      </c>
      <c r="C61">
        <v>13510750.599630199</v>
      </c>
      <c r="D61">
        <v>5758751.5354728401</v>
      </c>
      <c r="E61">
        <v>2967441.4100882201</v>
      </c>
      <c r="F61">
        <v>1171656.7219861499</v>
      </c>
      <c r="G61">
        <v>943663.742822389</v>
      </c>
      <c r="H61">
        <v>5618809.6219878905</v>
      </c>
      <c r="J61">
        <f t="shared" si="4"/>
        <v>59</v>
      </c>
      <c r="K61">
        <f t="shared" si="5"/>
        <v>1.7230698244520857E-6</v>
      </c>
      <c r="L61">
        <f t="shared" si="6"/>
        <v>9.0312504008223257E-5</v>
      </c>
      <c r="M61">
        <f t="shared" si="7"/>
        <v>3.8494328445674068E-5</v>
      </c>
      <c r="N61">
        <f t="shared" si="8"/>
        <v>1.9835838302728743E-5</v>
      </c>
      <c r="O61">
        <f t="shared" si="9"/>
        <v>7.8319299598004676E-6</v>
      </c>
      <c r="P61">
        <f t="shared" si="10"/>
        <v>6.3079127194009958E-6</v>
      </c>
      <c r="Q61">
        <f t="shared" si="11"/>
        <v>3.7558887847512634E-5</v>
      </c>
      <c r="V61">
        <f t="shared" si="12"/>
        <v>59</v>
      </c>
      <c r="W61">
        <f t="shared" si="1"/>
        <v>2.3336564343210145E-2</v>
      </c>
      <c r="X61">
        <f t="shared" si="2"/>
        <v>5.3242501307986263E-3</v>
      </c>
      <c r="Y61">
        <f t="shared" si="3"/>
        <v>1.9835838302728745E-3</v>
      </c>
      <c r="Z61">
        <f>100*(P61/$T$5)</f>
        <v>4.1390503408143017E-4</v>
      </c>
      <c r="AA61">
        <f>100*(Q61/$T$6)</f>
        <v>7.2173112696988153E-4</v>
      </c>
    </row>
    <row r="62" spans="1:27" x14ac:dyDescent="0.3">
      <c r="A62">
        <v>1440</v>
      </c>
      <c r="B62">
        <v>266589.54161289998</v>
      </c>
      <c r="C62">
        <v>13627054.4348244</v>
      </c>
      <c r="D62">
        <v>5974941.4787114598</v>
      </c>
      <c r="E62">
        <v>3071109.0091933799</v>
      </c>
      <c r="F62">
        <v>1290692.5362197999</v>
      </c>
      <c r="G62">
        <v>975721.25933533802</v>
      </c>
      <c r="H62">
        <v>5692431.5168860098</v>
      </c>
      <c r="J62">
        <f t="shared" si="4"/>
        <v>60</v>
      </c>
      <c r="K62">
        <f t="shared" si="5"/>
        <v>1.7820156524926469E-6</v>
      </c>
      <c r="L62">
        <f t="shared" si="6"/>
        <v>9.1089936061660429E-5</v>
      </c>
      <c r="M62">
        <f t="shared" si="7"/>
        <v>3.9939448387108691E-5</v>
      </c>
      <c r="N62">
        <f t="shared" si="8"/>
        <v>2.0528803537388904E-5</v>
      </c>
      <c r="O62">
        <f t="shared" si="9"/>
        <v>8.6276239052125654E-6</v>
      </c>
      <c r="P62">
        <f t="shared" si="10"/>
        <v>6.522200931385949E-6</v>
      </c>
      <c r="Q62">
        <f t="shared" si="11"/>
        <v>3.8051012813409159E-5</v>
      </c>
      <c r="V62">
        <f t="shared" si="12"/>
        <v>60</v>
      </c>
      <c r="W62">
        <f t="shared" si="1"/>
        <v>2.3537451178723624E-2</v>
      </c>
      <c r="X62">
        <f t="shared" si="2"/>
        <v>5.5241284076222256E-3</v>
      </c>
      <c r="Y62">
        <f t="shared" si="3"/>
        <v>2.0528803537388902E-3</v>
      </c>
      <c r="Z62">
        <f>100*(P62/$T$5)</f>
        <v>4.2796594037965542E-4</v>
      </c>
      <c r="AA62">
        <f>100*(Q62/$T$6)</f>
        <v>7.3118779426228203E-4</v>
      </c>
    </row>
    <row r="63" spans="1:27" x14ac:dyDescent="0.3">
      <c r="A63">
        <v>1464</v>
      </c>
      <c r="B63">
        <v>275556.35367276898</v>
      </c>
      <c r="C63">
        <v>13737959.6652443</v>
      </c>
      <c r="D63">
        <v>6195225.3138204701</v>
      </c>
      <c r="E63">
        <v>3174643.2105685598</v>
      </c>
      <c r="F63">
        <v>1801284.5664987201</v>
      </c>
      <c r="G63">
        <v>1008319.70086541</v>
      </c>
      <c r="H63">
        <v>5805536.1656919299</v>
      </c>
      <c r="J63">
        <f t="shared" si="4"/>
        <v>61</v>
      </c>
      <c r="K63">
        <f t="shared" si="5"/>
        <v>1.8419542357805413E-6</v>
      </c>
      <c r="L63">
        <f t="shared" si="6"/>
        <v>9.1831281184788095E-5</v>
      </c>
      <c r="M63">
        <f t="shared" si="7"/>
        <v>4.1411933915912236E-5</v>
      </c>
      <c r="N63">
        <f t="shared" si="8"/>
        <v>2.1220877075993047E-5</v>
      </c>
      <c r="O63">
        <f t="shared" si="9"/>
        <v>1.2040672235954011E-5</v>
      </c>
      <c r="P63">
        <f t="shared" si="10"/>
        <v>6.7401049523088903E-6</v>
      </c>
      <c r="Q63">
        <f t="shared" si="11"/>
        <v>3.8807059931095788E-5</v>
      </c>
      <c r="V63">
        <f t="shared" si="12"/>
        <v>61</v>
      </c>
      <c r="W63">
        <f t="shared" si="1"/>
        <v>2.3729013226043434E-2</v>
      </c>
      <c r="X63">
        <f t="shared" si="2"/>
        <v>5.7277916896144171E-3</v>
      </c>
      <c r="Y63">
        <f t="shared" si="3"/>
        <v>2.1220877075993046E-3</v>
      </c>
      <c r="Z63">
        <f>100*(P63/$T$5)</f>
        <v>4.4226410448221064E-4</v>
      </c>
      <c r="AA63">
        <f>100*(Q63/$T$6)</f>
        <v>7.4571598637770541E-4</v>
      </c>
    </row>
    <row r="64" spans="1:27" x14ac:dyDescent="0.3">
      <c r="A64">
        <v>1488</v>
      </c>
      <c r="B64">
        <v>284671.69226884801</v>
      </c>
      <c r="C64">
        <v>13843977.031969599</v>
      </c>
      <c r="D64">
        <v>6419564.3101939699</v>
      </c>
      <c r="E64">
        <v>3278049.5342469402</v>
      </c>
      <c r="F64">
        <v>2512338.6326515502</v>
      </c>
      <c r="G64">
        <v>1041459.76737452</v>
      </c>
      <c r="H64">
        <v>5932586.7496086601</v>
      </c>
      <c r="J64">
        <f t="shared" si="4"/>
        <v>62</v>
      </c>
      <c r="K64">
        <f t="shared" si="5"/>
        <v>1.9028856435083423E-6</v>
      </c>
      <c r="L64">
        <f t="shared" si="6"/>
        <v>9.2539953422256674E-5</v>
      </c>
      <c r="M64">
        <f t="shared" si="7"/>
        <v>4.2911526137660223E-5</v>
      </c>
      <c r="N64">
        <f t="shared" si="8"/>
        <v>2.1912095817158691E-5</v>
      </c>
      <c r="O64">
        <f t="shared" si="9"/>
        <v>1.6793707437510363E-5</v>
      </c>
      <c r="P64">
        <f t="shared" si="10"/>
        <v>6.9616294610596256E-6</v>
      </c>
      <c r="Q64">
        <f t="shared" si="11"/>
        <v>3.9656328540164842E-5</v>
      </c>
      <c r="V64">
        <f t="shared" si="12"/>
        <v>62</v>
      </c>
      <c r="W64">
        <f t="shared" si="1"/>
        <v>2.3912132667249786E-2</v>
      </c>
      <c r="X64">
        <f t="shared" si="2"/>
        <v>5.935204168417735E-3</v>
      </c>
      <c r="Y64">
        <f t="shared" si="3"/>
        <v>2.191209581715869E-3</v>
      </c>
      <c r="Z64">
        <f>100*(P64/$T$5)</f>
        <v>4.5679983340286259E-4</v>
      </c>
      <c r="AA64">
        <f>100*(Q64/$T$6)</f>
        <v>7.6203552152507388E-4</v>
      </c>
    </row>
    <row r="65" spans="1:27" x14ac:dyDescent="0.3">
      <c r="A65">
        <v>1512</v>
      </c>
      <c r="B65">
        <v>293935.56777724798</v>
      </c>
      <c r="C65">
        <v>13945623.5151088</v>
      </c>
      <c r="D65">
        <v>6647916.2625844702</v>
      </c>
      <c r="E65">
        <v>3381365.7207574798</v>
      </c>
      <c r="F65">
        <v>3325266.6945147002</v>
      </c>
      <c r="G65">
        <v>1075142.31826032</v>
      </c>
      <c r="H65">
        <v>6022546.5986214699</v>
      </c>
      <c r="J65">
        <f t="shared" si="4"/>
        <v>63</v>
      </c>
      <c r="K65">
        <f t="shared" si="5"/>
        <v>1.9648099450350801E-6</v>
      </c>
      <c r="L65">
        <f t="shared" si="6"/>
        <v>9.3219408523454543E-5</v>
      </c>
      <c r="M65">
        <f t="shared" si="7"/>
        <v>4.4437942931714373E-5</v>
      </c>
      <c r="N65">
        <f t="shared" si="8"/>
        <v>2.260271203714893E-5</v>
      </c>
      <c r="O65">
        <f t="shared" si="9"/>
        <v>2.2227718546221258E-5</v>
      </c>
      <c r="P65">
        <f t="shared" si="10"/>
        <v>7.1867802022748659E-6</v>
      </c>
      <c r="Q65">
        <f t="shared" si="11"/>
        <v>4.0257664429287899E-5</v>
      </c>
      <c r="V65">
        <f t="shared" si="12"/>
        <v>63</v>
      </c>
      <c r="W65">
        <f t="shared" si="1"/>
        <v>2.4087702460840969E-2</v>
      </c>
      <c r="X65">
        <f t="shared" si="2"/>
        <v>6.1463268231970085E-3</v>
      </c>
      <c r="Y65">
        <f t="shared" si="3"/>
        <v>2.2602712037148929E-3</v>
      </c>
      <c r="Z65">
        <f>100*(P65/$T$5)</f>
        <v>4.7157350408627731E-4</v>
      </c>
      <c r="AA65">
        <f>100*(Q65/$T$6)</f>
        <v>7.7359078457509413E-4</v>
      </c>
    </row>
    <row r="66" spans="1:27" x14ac:dyDescent="0.3">
      <c r="A66">
        <v>1536</v>
      </c>
      <c r="B66">
        <v>303347.99058474298</v>
      </c>
      <c r="C66">
        <v>14043423.999403801</v>
      </c>
      <c r="D66">
        <v>6880235.5101012504</v>
      </c>
      <c r="E66">
        <v>3484677.39676562</v>
      </c>
      <c r="F66">
        <v>4199182.6268289099</v>
      </c>
      <c r="G66">
        <v>1109368.2849976299</v>
      </c>
      <c r="H66">
        <v>6053428.1321939901</v>
      </c>
      <c r="J66">
        <f t="shared" si="4"/>
        <v>64</v>
      </c>
      <c r="K66">
        <f t="shared" si="5"/>
        <v>2.0277272097910627E-6</v>
      </c>
      <c r="L66">
        <f t="shared" si="6"/>
        <v>9.387315507622862E-5</v>
      </c>
      <c r="M66">
        <f t="shared" si="7"/>
        <v>4.5990879078216916E-5</v>
      </c>
      <c r="N66">
        <f t="shared" si="8"/>
        <v>2.3293298106722059E-5</v>
      </c>
      <c r="O66">
        <f t="shared" si="9"/>
        <v>2.8069402585754747E-5</v>
      </c>
      <c r="P66">
        <f t="shared" si="10"/>
        <v>7.4155634023905743E-6</v>
      </c>
      <c r="Q66">
        <f t="shared" si="11"/>
        <v>4.0464091792740575E-5</v>
      </c>
      <c r="V66">
        <f t="shared" si="12"/>
        <v>64</v>
      </c>
      <c r="W66">
        <f t="shared" ref="W66:W129" si="13">(L66/$T$2)*100</f>
        <v>2.4256629218663728E-2</v>
      </c>
      <c r="X66">
        <f t="shared" ref="X66:X129" si="14">100*(M66/$T$3)</f>
        <v>6.361117438204277E-3</v>
      </c>
      <c r="Y66">
        <f t="shared" ref="Y66:Y129" si="15">100*(N66/$T$4)</f>
        <v>2.3293298106722058E-3</v>
      </c>
      <c r="Z66">
        <f>100*(P66/$T$5)</f>
        <v>4.8658552509124505E-4</v>
      </c>
      <c r="AA66">
        <f>100*(Q66/$T$6)</f>
        <v>7.7755749025250917E-4</v>
      </c>
    </row>
    <row r="67" spans="1:27" x14ac:dyDescent="0.3">
      <c r="A67">
        <v>1560</v>
      </c>
      <c r="B67">
        <v>312908.97108668601</v>
      </c>
      <c r="C67">
        <v>14137913.0103772</v>
      </c>
      <c r="D67">
        <v>7116472.96703465</v>
      </c>
      <c r="E67">
        <v>3588150.9824507302</v>
      </c>
      <c r="F67">
        <v>5109910.73501122</v>
      </c>
      <c r="G67">
        <v>1144138.48657046</v>
      </c>
      <c r="H67">
        <v>6120236.4393767696</v>
      </c>
      <c r="J67">
        <f t="shared" ref="J67:J130" si="16">A67/24</f>
        <v>65</v>
      </c>
      <c r="K67">
        <f t="shared" ref="K67:K130" si="17">B67/149600000000</f>
        <v>2.0916375072639437E-6</v>
      </c>
      <c r="L67">
        <f t="shared" ref="L67:L130" si="18">C67/149600000000</f>
        <v>9.4504766112147058E-5</v>
      </c>
      <c r="M67">
        <f t="shared" ref="M67:M130" si="19">D67/149600000000</f>
        <v>4.7570006464135359E-5</v>
      </c>
      <c r="N67">
        <f t="shared" ref="N67:N130" si="20">E67/149600000000</f>
        <v>2.3984966460232152E-5</v>
      </c>
      <c r="O67">
        <f t="shared" ref="O67:O130" si="21">F67/149600000000</f>
        <v>3.4157157319593718E-5</v>
      </c>
      <c r="P67">
        <f t="shared" ref="P67:P130" si="22">G67/149600000000</f>
        <v>7.6479845358987975E-6</v>
      </c>
      <c r="Q67">
        <f t="shared" ref="Q67:Q130" si="23">H67/149600000000</f>
        <v>4.0910671386208354E-5</v>
      </c>
      <c r="V67">
        <f t="shared" ref="V67:V130" si="24">J67</f>
        <v>65</v>
      </c>
      <c r="W67">
        <f t="shared" si="13"/>
        <v>2.4419836204689158E-2</v>
      </c>
      <c r="X67">
        <f t="shared" si="14"/>
        <v>6.5795306312773664E-3</v>
      </c>
      <c r="Y67">
        <f t="shared" si="15"/>
        <v>2.3984966460232154E-3</v>
      </c>
      <c r="Z67">
        <f>100*(P67/$T$5)</f>
        <v>5.0183625563640405E-4</v>
      </c>
      <c r="AA67">
        <f>100*(Q67/$T$6)</f>
        <v>7.8613895822844649E-4</v>
      </c>
    </row>
    <row r="68" spans="1:27" x14ac:dyDescent="0.3">
      <c r="A68">
        <v>1584</v>
      </c>
      <c r="B68">
        <v>322618.51968989102</v>
      </c>
      <c r="C68">
        <v>14229636.492962999</v>
      </c>
      <c r="D68">
        <v>7356576.1526282197</v>
      </c>
      <c r="E68">
        <v>3692083.5609145998</v>
      </c>
      <c r="F68">
        <v>6035289.3363629105</v>
      </c>
      <c r="G68">
        <v>1179453.5875353201</v>
      </c>
      <c r="H68">
        <v>6079189.8114361297</v>
      </c>
      <c r="J68">
        <f t="shared" si="16"/>
        <v>66</v>
      </c>
      <c r="K68">
        <f t="shared" si="17"/>
        <v>2.1565409070179883E-6</v>
      </c>
      <c r="L68">
        <f t="shared" si="18"/>
        <v>9.511789099574198E-5</v>
      </c>
      <c r="M68">
        <f t="shared" si="19"/>
        <v>4.9174974282274195E-5</v>
      </c>
      <c r="N68">
        <f t="shared" si="20"/>
        <v>2.4679702947290107E-5</v>
      </c>
      <c r="O68">
        <f t="shared" si="21"/>
        <v>4.0342843157506089E-5</v>
      </c>
      <c r="P68">
        <f t="shared" si="22"/>
        <v>7.8840480450221939E-6</v>
      </c>
      <c r="Q68">
        <f t="shared" si="23"/>
        <v>4.0636295530990171E-5</v>
      </c>
      <c r="V68">
        <f t="shared" si="24"/>
        <v>66</v>
      </c>
      <c r="W68">
        <f t="shared" si="13"/>
        <v>2.4578266407168467E-2</v>
      </c>
      <c r="X68">
        <f t="shared" si="14"/>
        <v>6.801517881365726E-3</v>
      </c>
      <c r="Y68">
        <f t="shared" si="15"/>
        <v>2.4679702947290106E-3</v>
      </c>
      <c r="Z68">
        <f>100*(P68/$T$5)</f>
        <v>5.1732598720618075E-4</v>
      </c>
      <c r="AA68">
        <f>100*(Q68/$T$6)</f>
        <v>7.8086655516891189E-4</v>
      </c>
    </row>
    <row r="69" spans="1:27" x14ac:dyDescent="0.3">
      <c r="A69">
        <v>1608</v>
      </c>
      <c r="B69">
        <v>332476.64679531398</v>
      </c>
      <c r="C69">
        <v>14319153.622377601</v>
      </c>
      <c r="D69">
        <v>7600489.22867308</v>
      </c>
      <c r="E69">
        <v>3796960.9162927102</v>
      </c>
      <c r="F69">
        <v>6949743.8527087998</v>
      </c>
      <c r="G69">
        <v>1215314.26411131</v>
      </c>
      <c r="H69">
        <v>6172969.8664386095</v>
      </c>
      <c r="J69">
        <f t="shared" si="16"/>
        <v>67</v>
      </c>
      <c r="K69">
        <f t="shared" si="17"/>
        <v>2.2224374785783019E-6</v>
      </c>
      <c r="L69">
        <f t="shared" si="18"/>
        <v>9.5716267529262039E-5</v>
      </c>
      <c r="M69">
        <f t="shared" si="19"/>
        <v>5.0805409282574065E-5</v>
      </c>
      <c r="N69">
        <f t="shared" si="20"/>
        <v>2.5380754788052874E-5</v>
      </c>
      <c r="O69">
        <f t="shared" si="21"/>
        <v>4.6455507036823526E-5</v>
      </c>
      <c r="P69">
        <f t="shared" si="22"/>
        <v>8.1237584499419112E-6</v>
      </c>
      <c r="Q69">
        <f t="shared" si="23"/>
        <v>4.1263167556407816E-5</v>
      </c>
      <c r="V69">
        <f t="shared" si="24"/>
        <v>67</v>
      </c>
      <c r="W69">
        <f t="shared" si="13"/>
        <v>2.4732885666475982E-2</v>
      </c>
      <c r="X69">
        <f t="shared" si="14"/>
        <v>7.0270275632882528E-3</v>
      </c>
      <c r="Y69">
        <f t="shared" si="15"/>
        <v>2.5380754788052874E-3</v>
      </c>
      <c r="Z69">
        <f>100*(P69/$T$5)</f>
        <v>5.3305501640038794E-4</v>
      </c>
      <c r="AA69">
        <f>100*(Q69/$T$6)</f>
        <v>7.9291252029991958E-4</v>
      </c>
    </row>
    <row r="70" spans="1:27" x14ac:dyDescent="0.3">
      <c r="A70">
        <v>1632</v>
      </c>
      <c r="B70">
        <v>342483.36280843598</v>
      </c>
      <c r="C70">
        <v>14407038.6270814</v>
      </c>
      <c r="D70">
        <v>7848153.0423618099</v>
      </c>
      <c r="E70">
        <v>3903501.3259445899</v>
      </c>
      <c r="F70">
        <v>7822702.4637782099</v>
      </c>
      <c r="G70">
        <v>1251721.3639666301</v>
      </c>
      <c r="H70">
        <v>6322622.7676606299</v>
      </c>
      <c r="J70">
        <f t="shared" si="16"/>
        <v>68</v>
      </c>
      <c r="K70">
        <f t="shared" si="17"/>
        <v>2.2893272915002406E-6</v>
      </c>
      <c r="L70">
        <f t="shared" si="18"/>
        <v>9.6303734138244651E-5</v>
      </c>
      <c r="M70">
        <f t="shared" si="19"/>
        <v>5.2460916058568251E-5</v>
      </c>
      <c r="N70">
        <f t="shared" si="20"/>
        <v>2.6092923301768649E-5</v>
      </c>
      <c r="O70">
        <f t="shared" si="21"/>
        <v>5.2290791870175202E-5</v>
      </c>
      <c r="P70">
        <f t="shared" si="22"/>
        <v>8.3671214168892377E-6</v>
      </c>
      <c r="Q70">
        <f t="shared" si="23"/>
        <v>4.2263521174202074E-5</v>
      </c>
      <c r="V70">
        <f t="shared" si="24"/>
        <v>68</v>
      </c>
      <c r="W70">
        <f t="shared" si="13"/>
        <v>2.4884685823835826E-2</v>
      </c>
      <c r="X70">
        <f t="shared" si="14"/>
        <v>7.2560049873538384E-3</v>
      </c>
      <c r="Y70">
        <f t="shared" si="15"/>
        <v>2.6092923301768651E-3</v>
      </c>
      <c r="Z70">
        <f>100*(P70/$T$5)</f>
        <v>5.4902371501897886E-4</v>
      </c>
      <c r="AA70">
        <f>100*(Q70/$T$6)</f>
        <v>8.1213530311687303E-4</v>
      </c>
    </row>
    <row r="71" spans="1:27" x14ac:dyDescent="0.3">
      <c r="A71">
        <v>1656</v>
      </c>
      <c r="B71">
        <v>352638.67812196701</v>
      </c>
      <c r="C71">
        <v>14493882.611071801</v>
      </c>
      <c r="D71">
        <v>8099505.1709389398</v>
      </c>
      <c r="E71">
        <v>4012649.91450882</v>
      </c>
      <c r="F71">
        <v>8619784.8652333692</v>
      </c>
      <c r="G71">
        <v>1288675.86773832</v>
      </c>
      <c r="H71">
        <v>6532170.1217715302</v>
      </c>
      <c r="J71">
        <f t="shared" si="16"/>
        <v>69</v>
      </c>
      <c r="K71">
        <f t="shared" si="17"/>
        <v>2.35721041525379E-6</v>
      </c>
      <c r="L71">
        <f t="shared" si="18"/>
        <v>9.6884242052618986E-5</v>
      </c>
      <c r="M71">
        <f t="shared" si="19"/>
        <v>5.4141077345848526E-5</v>
      </c>
      <c r="N71">
        <f t="shared" si="20"/>
        <v>2.6822526166502809E-5</v>
      </c>
      <c r="O71">
        <f t="shared" si="21"/>
        <v>5.7618882788993107E-5</v>
      </c>
      <c r="P71">
        <f t="shared" si="22"/>
        <v>8.6141435009245992E-6</v>
      </c>
      <c r="Q71">
        <f t="shared" si="23"/>
        <v>4.3664238781895258E-5</v>
      </c>
      <c r="V71">
        <f t="shared" si="24"/>
        <v>69</v>
      </c>
      <c r="W71">
        <f t="shared" si="13"/>
        <v>2.5034687868893794E-2</v>
      </c>
      <c r="X71">
        <f t="shared" si="14"/>
        <v>7.48839244064295E-3</v>
      </c>
      <c r="Y71">
        <f t="shared" si="15"/>
        <v>2.6822526166502807E-3</v>
      </c>
      <c r="Z71">
        <f>100*(P71/$T$5)</f>
        <v>5.6523251318402884E-4</v>
      </c>
      <c r="AA71">
        <f>100*(Q71/$T$6)</f>
        <v>8.3905147543995504E-4</v>
      </c>
    </row>
    <row r="72" spans="1:27" x14ac:dyDescent="0.3">
      <c r="A72">
        <v>1680</v>
      </c>
      <c r="B72">
        <v>362942.60311978299</v>
      </c>
      <c r="C72">
        <v>14580295.356615201</v>
      </c>
      <c r="D72">
        <v>8354479.9743246296</v>
      </c>
      <c r="E72">
        <v>4125491.1485673101</v>
      </c>
      <c r="F72">
        <v>9306435.5260349493</v>
      </c>
      <c r="G72">
        <v>1326178.7521939201</v>
      </c>
      <c r="H72">
        <v>6695296.9960841499</v>
      </c>
      <c r="J72">
        <f t="shared" si="16"/>
        <v>70</v>
      </c>
      <c r="K72">
        <f t="shared" si="17"/>
        <v>2.4260869192498862E-6</v>
      </c>
      <c r="L72">
        <f t="shared" si="18"/>
        <v>9.7461867357053484E-5</v>
      </c>
      <c r="M72">
        <f t="shared" si="19"/>
        <v>5.5845454373827739E-5</v>
      </c>
      <c r="N72">
        <f t="shared" si="20"/>
        <v>2.7576812490423196E-5</v>
      </c>
      <c r="O72">
        <f t="shared" si="21"/>
        <v>6.2208793623228276E-5</v>
      </c>
      <c r="P72">
        <f t="shared" si="22"/>
        <v>8.8648312312427814E-6</v>
      </c>
      <c r="Q72">
        <f t="shared" si="23"/>
        <v>4.475465906473362E-5</v>
      </c>
      <c r="V72">
        <f t="shared" si="24"/>
        <v>70</v>
      </c>
      <c r="W72">
        <f t="shared" si="13"/>
        <v>2.5183945053502192E-2</v>
      </c>
      <c r="X72">
        <f t="shared" si="14"/>
        <v>7.7241292356608213E-3</v>
      </c>
      <c r="Y72">
        <f t="shared" si="15"/>
        <v>2.7576812490423194E-3</v>
      </c>
      <c r="Z72">
        <f>100*(P72/$T$5)</f>
        <v>5.816818393203925E-4</v>
      </c>
      <c r="AA72">
        <f>100*(Q72/$T$6)</f>
        <v>8.6000497818473529E-4</v>
      </c>
    </row>
    <row r="73" spans="1:27" x14ac:dyDescent="0.3">
      <c r="A73">
        <v>1704</v>
      </c>
      <c r="B73">
        <v>373395.14816971199</v>
      </c>
      <c r="C73">
        <v>14666907.0908134</v>
      </c>
      <c r="D73">
        <v>8613008.6509047206</v>
      </c>
      <c r="E73">
        <v>4243079.1141299699</v>
      </c>
      <c r="F73">
        <v>9853005.4688639697</v>
      </c>
      <c r="G73">
        <v>1364230.9060869699</v>
      </c>
      <c r="H73">
        <v>6811088.3293331498</v>
      </c>
      <c r="J73">
        <f t="shared" si="16"/>
        <v>71</v>
      </c>
      <c r="K73">
        <f t="shared" si="17"/>
        <v>2.4959568727921924E-6</v>
      </c>
      <c r="L73">
        <f t="shared" si="18"/>
        <v>9.8040822799554811E-5</v>
      </c>
      <c r="M73">
        <f t="shared" si="19"/>
        <v>5.7573587238667916E-5</v>
      </c>
      <c r="N73">
        <f t="shared" si="20"/>
        <v>2.8362828303007821E-5</v>
      </c>
      <c r="O73">
        <f t="shared" si="21"/>
        <v>6.5862336021817983E-5</v>
      </c>
      <c r="P73">
        <f t="shared" si="22"/>
        <v>9.1191905487096915E-6</v>
      </c>
      <c r="Q73">
        <f t="shared" si="23"/>
        <v>4.5528665303029074E-5</v>
      </c>
      <c r="V73">
        <f t="shared" si="24"/>
        <v>71</v>
      </c>
      <c r="W73">
        <f t="shared" si="13"/>
        <v>2.5333545943037414E-2</v>
      </c>
      <c r="X73">
        <f t="shared" si="14"/>
        <v>7.9631517619181084E-3</v>
      </c>
      <c r="Y73">
        <f t="shared" si="15"/>
        <v>2.836282830300782E-3</v>
      </c>
      <c r="Z73">
        <f>100*(P73/$T$5)</f>
        <v>5.9837208324866741E-4</v>
      </c>
      <c r="AA73">
        <f>100*(Q73/$T$6)</f>
        <v>8.748782725409123E-4</v>
      </c>
    </row>
    <row r="74" spans="1:27" x14ac:dyDescent="0.3">
      <c r="A74">
        <v>1728</v>
      </c>
      <c r="B74">
        <v>383996.32361280802</v>
      </c>
      <c r="C74">
        <v>14754370.1954464</v>
      </c>
      <c r="D74">
        <v>8875019.2959321905</v>
      </c>
      <c r="E74">
        <v>4366236.9419120001</v>
      </c>
      <c r="F74">
        <v>10239383.2106064</v>
      </c>
      <c r="G74">
        <v>1402833.2044842099</v>
      </c>
      <c r="H74">
        <v>6940429.6089269305</v>
      </c>
      <c r="J74">
        <f t="shared" si="16"/>
        <v>72</v>
      </c>
      <c r="K74">
        <f t="shared" si="17"/>
        <v>2.5668203450054013E-6</v>
      </c>
      <c r="L74">
        <f t="shared" si="18"/>
        <v>9.8625469220898395E-5</v>
      </c>
      <c r="M74">
        <f t="shared" si="19"/>
        <v>5.9324995293664376E-5</v>
      </c>
      <c r="N74">
        <f t="shared" si="20"/>
        <v>2.9186075814919787E-5</v>
      </c>
      <c r="O74">
        <f t="shared" si="21"/>
        <v>6.8445074937208551E-5</v>
      </c>
      <c r="P74">
        <f t="shared" si="22"/>
        <v>9.3772273027019378E-6</v>
      </c>
      <c r="Q74">
        <f t="shared" si="23"/>
        <v>4.6393246048976808E-5</v>
      </c>
      <c r="V74">
        <f t="shared" si="24"/>
        <v>72</v>
      </c>
      <c r="W74">
        <f t="shared" si="13"/>
        <v>2.5484617369741183E-2</v>
      </c>
      <c r="X74">
        <f t="shared" si="14"/>
        <v>8.2053935399259165E-3</v>
      </c>
      <c r="Y74">
        <f t="shared" si="15"/>
        <v>2.9186075814919788E-3</v>
      </c>
      <c r="Z74">
        <f>100*(P74/$T$5)</f>
        <v>6.1530362878621633E-4</v>
      </c>
      <c r="AA74">
        <f>100*(Q74/$T$6)</f>
        <v>8.9149204552222924E-4</v>
      </c>
    </row>
    <row r="75" spans="1:27" x14ac:dyDescent="0.3">
      <c r="A75">
        <v>1752</v>
      </c>
      <c r="B75">
        <v>394746.139770284</v>
      </c>
      <c r="C75">
        <v>14843360.834930999</v>
      </c>
      <c r="D75">
        <v>9140436.9662583508</v>
      </c>
      <c r="E75">
        <v>4495407.5527008697</v>
      </c>
      <c r="F75">
        <v>10457241.7556134</v>
      </c>
      <c r="G75">
        <v>1441986.57918582</v>
      </c>
      <c r="H75">
        <v>6940550.0045459997</v>
      </c>
      <c r="J75">
        <f t="shared" si="16"/>
        <v>73</v>
      </c>
      <c r="K75">
        <f t="shared" si="17"/>
        <v>2.6386774048815775E-6</v>
      </c>
      <c r="L75">
        <f t="shared" si="18"/>
        <v>9.9220326436704547E-5</v>
      </c>
      <c r="M75">
        <f t="shared" si="19"/>
        <v>6.1099177581940844E-5</v>
      </c>
      <c r="N75">
        <f t="shared" si="20"/>
        <v>3.0049515726610092E-5</v>
      </c>
      <c r="O75">
        <f t="shared" si="21"/>
        <v>6.9901348633779405E-5</v>
      </c>
      <c r="P75">
        <f t="shared" si="22"/>
        <v>9.638947721830348E-6</v>
      </c>
      <c r="Q75">
        <f t="shared" si="23"/>
        <v>4.6394050832526736E-5</v>
      </c>
      <c r="V75">
        <f t="shared" si="24"/>
        <v>73</v>
      </c>
      <c r="W75">
        <f t="shared" si="13"/>
        <v>2.5638327244626499E-2</v>
      </c>
      <c r="X75">
        <f t="shared" si="14"/>
        <v>8.4507852810429933E-3</v>
      </c>
      <c r="Y75">
        <f t="shared" si="15"/>
        <v>3.0049515726610094E-3</v>
      </c>
      <c r="Z75">
        <f>100*(P75/$T$5)</f>
        <v>6.3247688463453726E-4</v>
      </c>
      <c r="AA75">
        <f>100*(Q75/$T$6)</f>
        <v>8.9150751023302731E-4</v>
      </c>
    </row>
    <row r="76" spans="1:27" x14ac:dyDescent="0.3">
      <c r="A76">
        <v>1776</v>
      </c>
      <c r="B76">
        <v>405644.60693243198</v>
      </c>
      <c r="C76">
        <v>14934580.4790574</v>
      </c>
      <c r="D76">
        <v>9409183.7491711807</v>
      </c>
      <c r="E76">
        <v>4630613.6845901599</v>
      </c>
      <c r="F76">
        <v>10509158.7294049</v>
      </c>
      <c r="G76">
        <v>1481691.9768775001</v>
      </c>
      <c r="H76">
        <v>7037065.8393534403</v>
      </c>
      <c r="J76">
        <f t="shared" si="16"/>
        <v>74</v>
      </c>
      <c r="K76">
        <f t="shared" si="17"/>
        <v>2.7115281212060963E-6</v>
      </c>
      <c r="L76">
        <f t="shared" si="18"/>
        <v>9.9830083416159083E-5</v>
      </c>
      <c r="M76">
        <f t="shared" si="19"/>
        <v>6.2895613296598795E-5</v>
      </c>
      <c r="N76">
        <f t="shared" si="20"/>
        <v>3.0953300030682888E-5</v>
      </c>
      <c r="O76">
        <f t="shared" si="21"/>
        <v>7.0248387228642376E-5</v>
      </c>
      <c r="P76">
        <f t="shared" si="22"/>
        <v>9.9043581342078877E-6</v>
      </c>
      <c r="Q76">
        <f t="shared" si="23"/>
        <v>4.7039210156105884E-5</v>
      </c>
      <c r="V76">
        <f t="shared" si="24"/>
        <v>74</v>
      </c>
      <c r="W76">
        <f t="shared" si="13"/>
        <v>2.5795887187638002E-2</v>
      </c>
      <c r="X76">
        <f t="shared" si="14"/>
        <v>8.6992549511201653E-3</v>
      </c>
      <c r="Y76">
        <f t="shared" si="15"/>
        <v>3.095330003068289E-3</v>
      </c>
      <c r="Z76">
        <f>100*(P76/$T$5)</f>
        <v>6.4989226602413957E-4</v>
      </c>
      <c r="AA76">
        <f>100*(Q76/$T$6)</f>
        <v>9.0390488386060512E-4</v>
      </c>
    </row>
    <row r="77" spans="1:27" x14ac:dyDescent="0.3">
      <c r="A77">
        <v>1800</v>
      </c>
      <c r="B77">
        <v>416691.73535698297</v>
      </c>
      <c r="C77">
        <v>15028757.286686899</v>
      </c>
      <c r="D77">
        <v>9681178.8321458604</v>
      </c>
      <c r="E77">
        <v>4771523.3295841096</v>
      </c>
      <c r="F77">
        <v>10405428.430036901</v>
      </c>
      <c r="G77">
        <v>1521950.27454804</v>
      </c>
      <c r="H77">
        <v>7149815.6878828704</v>
      </c>
      <c r="J77">
        <f t="shared" si="16"/>
        <v>75</v>
      </c>
      <c r="K77">
        <f t="shared" si="17"/>
        <v>2.7853725625466774E-6</v>
      </c>
      <c r="L77">
        <f t="shared" si="18"/>
        <v>1.0045960753132955E-4</v>
      </c>
      <c r="M77">
        <f t="shared" si="19"/>
        <v>6.4713762246964307E-5</v>
      </c>
      <c r="N77">
        <f t="shared" si="20"/>
        <v>3.1895209422353671E-5</v>
      </c>
      <c r="O77">
        <f t="shared" si="21"/>
        <v>6.9555002874578214E-5</v>
      </c>
      <c r="P77">
        <f t="shared" si="22"/>
        <v>1.0173464402059091E-5</v>
      </c>
      <c r="Q77">
        <f t="shared" si="23"/>
        <v>4.7792885614190312E-5</v>
      </c>
      <c r="V77">
        <f t="shared" si="24"/>
        <v>75</v>
      </c>
      <c r="W77">
        <f t="shared" si="13"/>
        <v>2.5958554917656213E-2</v>
      </c>
      <c r="X77">
        <f t="shared" si="14"/>
        <v>8.9507278349881484E-3</v>
      </c>
      <c r="Y77">
        <f t="shared" si="15"/>
        <v>3.1895209422353669E-3</v>
      </c>
      <c r="Z77">
        <f>100*(P77/$T$5)</f>
        <v>6.6755015761542586E-4</v>
      </c>
      <c r="AA77">
        <f>100*(Q77/$T$6)</f>
        <v>9.1838750219427965E-4</v>
      </c>
    </row>
    <row r="78" spans="1:27" x14ac:dyDescent="0.3">
      <c r="A78">
        <v>1824</v>
      </c>
      <c r="B78">
        <v>427887.53525872098</v>
      </c>
      <c r="C78">
        <v>15126647.315645</v>
      </c>
      <c r="D78">
        <v>9956338.5771625992</v>
      </c>
      <c r="E78">
        <v>4917569.2506694701</v>
      </c>
      <c r="F78">
        <v>10160168.316780901</v>
      </c>
      <c r="G78">
        <v>1562762.34448282</v>
      </c>
      <c r="H78">
        <v>7327585.8993115304</v>
      </c>
      <c r="J78">
        <f t="shared" si="16"/>
        <v>76</v>
      </c>
      <c r="K78">
        <f t="shared" si="17"/>
        <v>2.860210797183964E-6</v>
      </c>
      <c r="L78">
        <f t="shared" si="18"/>
        <v>1.0111395264468583E-4</v>
      </c>
      <c r="M78">
        <f t="shared" si="19"/>
        <v>6.6553065355364971E-5</v>
      </c>
      <c r="N78">
        <f t="shared" si="20"/>
        <v>3.2871452210357421E-5</v>
      </c>
      <c r="O78">
        <f t="shared" si="21"/>
        <v>6.7915563614845593E-5</v>
      </c>
      <c r="P78">
        <f t="shared" si="22"/>
        <v>1.0446272356168583E-5</v>
      </c>
      <c r="Q78">
        <f t="shared" si="23"/>
        <v>4.8981189166520926E-5</v>
      </c>
      <c r="V78">
        <f t="shared" si="24"/>
        <v>76</v>
      </c>
      <c r="W78">
        <f t="shared" si="13"/>
        <v>2.612763634229608E-2</v>
      </c>
      <c r="X78">
        <f t="shared" si="14"/>
        <v>9.2051266051680451E-3</v>
      </c>
      <c r="Y78">
        <f t="shared" si="15"/>
        <v>3.2871452210357422E-3</v>
      </c>
      <c r="Z78">
        <f>100*(P78/$T$5)</f>
        <v>6.8545094200581254E-4</v>
      </c>
      <c r="AA78">
        <f>100*(Q78/$T$6)</f>
        <v>9.4122192864183173E-4</v>
      </c>
    </row>
    <row r="79" spans="1:27" x14ac:dyDescent="0.3">
      <c r="A79">
        <v>1848</v>
      </c>
      <c r="B79">
        <v>439232.01680871198</v>
      </c>
      <c r="C79">
        <v>15229035.518198401</v>
      </c>
      <c r="D79">
        <v>10234576.6047359</v>
      </c>
      <c r="E79">
        <v>5068066.8379752198</v>
      </c>
      <c r="F79">
        <v>9788051.7982200608</v>
      </c>
      <c r="G79">
        <v>1604129.1946386599</v>
      </c>
      <c r="H79">
        <v>7422186.1646797601</v>
      </c>
      <c r="J79">
        <f t="shared" si="16"/>
        <v>77</v>
      </c>
      <c r="K79">
        <f t="shared" si="17"/>
        <v>2.9360428931063636E-6</v>
      </c>
      <c r="L79">
        <f t="shared" si="18"/>
        <v>1.017983657633583E-4</v>
      </c>
      <c r="M79">
        <f t="shared" si="19"/>
        <v>6.8412945218822857E-5</v>
      </c>
      <c r="N79">
        <f t="shared" si="20"/>
        <v>3.3877452125502809E-5</v>
      </c>
      <c r="O79">
        <f t="shared" si="21"/>
        <v>6.5428153731417513E-5</v>
      </c>
      <c r="P79">
        <f t="shared" si="22"/>
        <v>1.0722788734215642E-5</v>
      </c>
      <c r="Q79">
        <f t="shared" si="23"/>
        <v>4.9613543881549201E-5</v>
      </c>
      <c r="V79">
        <f t="shared" si="24"/>
        <v>77</v>
      </c>
      <c r="W79">
        <f t="shared" si="13"/>
        <v>2.6304487277353565E-2</v>
      </c>
      <c r="X79">
        <f t="shared" si="14"/>
        <v>9.4623713995605624E-3</v>
      </c>
      <c r="Y79">
        <f t="shared" si="15"/>
        <v>3.3877452125502809E-3</v>
      </c>
      <c r="Z79">
        <f>100*(P79/$T$5)</f>
        <v>7.0359506130023898E-4</v>
      </c>
      <c r="AA79">
        <f>100*(Q79/$T$6)</f>
        <v>9.5337324906897007E-4</v>
      </c>
    </row>
    <row r="80" spans="1:27" x14ac:dyDescent="0.3">
      <c r="A80">
        <v>1872</v>
      </c>
      <c r="B80">
        <v>450725.19013122999</v>
      </c>
      <c r="C80">
        <v>15336736.4735697</v>
      </c>
      <c r="D80">
        <v>10515803.8725874</v>
      </c>
      <c r="E80">
        <v>5222299.1350796605</v>
      </c>
      <c r="F80">
        <v>9302245.5495231505</v>
      </c>
      <c r="G80">
        <v>1646051.98197466</v>
      </c>
      <c r="H80">
        <v>7479181.1715826504</v>
      </c>
      <c r="J80">
        <f t="shared" si="16"/>
        <v>78</v>
      </c>
      <c r="K80">
        <f t="shared" si="17"/>
        <v>3.0128689179895054E-6</v>
      </c>
      <c r="L80">
        <f t="shared" si="18"/>
        <v>1.0251829193562635E-4</v>
      </c>
      <c r="M80">
        <f t="shared" si="19"/>
        <v>7.0292806634942513E-5</v>
      </c>
      <c r="N80">
        <f t="shared" si="20"/>
        <v>3.4908416678339976E-5</v>
      </c>
      <c r="O80">
        <f t="shared" si="21"/>
        <v>6.2180785758844591E-5</v>
      </c>
      <c r="P80">
        <f t="shared" si="22"/>
        <v>1.1003021269884091E-5</v>
      </c>
      <c r="Q80">
        <f t="shared" si="23"/>
        <v>4.9994526548012368E-5</v>
      </c>
      <c r="V80">
        <f t="shared" si="24"/>
        <v>78</v>
      </c>
      <c r="W80">
        <f t="shared" si="13"/>
        <v>2.6490514712048149E-2</v>
      </c>
      <c r="X80">
        <f t="shared" si="14"/>
        <v>9.7223798941829202E-3</v>
      </c>
      <c r="Y80">
        <f t="shared" si="15"/>
        <v>3.4908416678339975E-3</v>
      </c>
      <c r="Z80">
        <f>100*(P80/$T$5)</f>
        <v>7.2198302295827367E-4</v>
      </c>
      <c r="AA80">
        <f>100*(Q80/$T$6)</f>
        <v>9.6069420730231301E-4</v>
      </c>
    </row>
    <row r="81" spans="1:27" x14ac:dyDescent="0.3">
      <c r="A81">
        <v>1896</v>
      </c>
      <c r="B81">
        <v>462367.06529853703</v>
      </c>
      <c r="C81">
        <v>15450594.8051733</v>
      </c>
      <c r="D81">
        <v>10799928.7605027</v>
      </c>
      <c r="E81">
        <v>5379564.2530549997</v>
      </c>
      <c r="F81">
        <v>8713508.2910721395</v>
      </c>
      <c r="G81">
        <v>1688531.8340527201</v>
      </c>
      <c r="H81">
        <v>7533450.9039533902</v>
      </c>
      <c r="J81">
        <f t="shared" si="16"/>
        <v>79</v>
      </c>
      <c r="K81">
        <f t="shared" si="17"/>
        <v>3.0906889391613438E-6</v>
      </c>
      <c r="L81">
        <f t="shared" si="18"/>
        <v>1.0327937703992848E-4</v>
      </c>
      <c r="M81">
        <f t="shared" si="19"/>
        <v>7.2192037169135692E-5</v>
      </c>
      <c r="N81">
        <f t="shared" si="20"/>
        <v>3.5959654097961225E-5</v>
      </c>
      <c r="O81">
        <f t="shared" si="21"/>
        <v>5.8245376277220186E-5</v>
      </c>
      <c r="P81">
        <f t="shared" si="22"/>
        <v>1.1286977500352407E-5</v>
      </c>
      <c r="Q81">
        <f t="shared" si="23"/>
        <v>5.0357292138725868E-5</v>
      </c>
      <c r="V81">
        <f t="shared" si="24"/>
        <v>79</v>
      </c>
      <c r="W81">
        <f t="shared" si="13"/>
        <v>2.6687177529697279E-2</v>
      </c>
      <c r="X81">
        <f t="shared" si="14"/>
        <v>9.9850673816231934E-3</v>
      </c>
      <c r="Y81">
        <f t="shared" si="15"/>
        <v>3.5959654097961224E-3</v>
      </c>
      <c r="Z81">
        <f>100*(P81/$T$5)</f>
        <v>7.4061532154543353E-4</v>
      </c>
      <c r="AA81">
        <f>100*(Q81/$T$6)</f>
        <v>9.6766510643208823E-4</v>
      </c>
    </row>
    <row r="82" spans="1:27" x14ac:dyDescent="0.3">
      <c r="A82">
        <v>1920</v>
      </c>
      <c r="B82">
        <v>474157.65232243302</v>
      </c>
      <c r="C82">
        <v>15571485.2179869</v>
      </c>
      <c r="D82">
        <v>11086857.160681199</v>
      </c>
      <c r="E82">
        <v>5539194.91742846</v>
      </c>
      <c r="F82">
        <v>8030130.5256947596</v>
      </c>
      <c r="G82">
        <v>1731569.70381608</v>
      </c>
      <c r="H82">
        <v>7474090.9340898301</v>
      </c>
      <c r="J82">
        <f t="shared" si="16"/>
        <v>80</v>
      </c>
      <c r="K82">
        <f t="shared" si="17"/>
        <v>3.1695030235456751E-6</v>
      </c>
      <c r="L82">
        <f t="shared" si="18"/>
        <v>1.0408746803467179E-4</v>
      </c>
      <c r="M82">
        <f t="shared" si="19"/>
        <v>7.411000775856417E-5</v>
      </c>
      <c r="N82">
        <f t="shared" si="20"/>
        <v>3.7026703993505751E-5</v>
      </c>
      <c r="O82">
        <f t="shared" si="21"/>
        <v>5.3677343086194919E-5</v>
      </c>
      <c r="P82">
        <f t="shared" si="22"/>
        <v>1.1574663795562031E-5</v>
      </c>
      <c r="Q82">
        <f t="shared" si="23"/>
        <v>4.9960500896322395E-5</v>
      </c>
      <c r="V82">
        <f t="shared" si="24"/>
        <v>80</v>
      </c>
      <c r="W82">
        <f t="shared" si="13"/>
        <v>2.6895986572266613E-2</v>
      </c>
      <c r="X82">
        <f t="shared" si="14"/>
        <v>1.025034685457319E-2</v>
      </c>
      <c r="Y82">
        <f t="shared" si="15"/>
        <v>3.7026703993505751E-3</v>
      </c>
      <c r="Z82">
        <f>100*(P82/$T$5)</f>
        <v>7.5949237503687868E-4</v>
      </c>
      <c r="AA82">
        <f>100*(Q82/$T$6)</f>
        <v>9.600403707978938E-4</v>
      </c>
    </row>
    <row r="83" spans="1:27" x14ac:dyDescent="0.3">
      <c r="A83">
        <v>1944</v>
      </c>
      <c r="B83">
        <v>486096.96115300502</v>
      </c>
      <c r="C83">
        <v>15700312.088304801</v>
      </c>
      <c r="D83">
        <v>11376492.5705113</v>
      </c>
      <c r="E83">
        <v>5700563.0858808504</v>
      </c>
      <c r="F83">
        <v>7258375.5595187899</v>
      </c>
      <c r="G83">
        <v>1775166.4445</v>
      </c>
      <c r="H83">
        <v>7511241.3704964798</v>
      </c>
      <c r="J83">
        <f t="shared" si="16"/>
        <v>81</v>
      </c>
      <c r="K83">
        <f t="shared" si="17"/>
        <v>3.2493112376537768E-6</v>
      </c>
      <c r="L83">
        <f t="shared" si="18"/>
        <v>1.0494861021594118E-4</v>
      </c>
      <c r="M83">
        <f t="shared" si="19"/>
        <v>7.6046073332294782E-5</v>
      </c>
      <c r="N83">
        <f t="shared" si="20"/>
        <v>3.810536822112868E-5</v>
      </c>
      <c r="O83">
        <f t="shared" si="21"/>
        <v>4.8518553205339507E-5</v>
      </c>
      <c r="P83">
        <f t="shared" si="22"/>
        <v>1.1866085858957218E-5</v>
      </c>
      <c r="Q83">
        <f t="shared" si="23"/>
        <v>5.0208832690484488E-5</v>
      </c>
      <c r="V83">
        <f t="shared" si="24"/>
        <v>81</v>
      </c>
      <c r="W83">
        <f t="shared" si="13"/>
        <v>2.7118503931767748E-2</v>
      </c>
      <c r="X83">
        <f t="shared" si="14"/>
        <v>1.0518129091603705E-2</v>
      </c>
      <c r="Y83">
        <f t="shared" si="15"/>
        <v>3.810536822112868E-3</v>
      </c>
      <c r="Z83">
        <f>100*(P83/$T$5)</f>
        <v>7.7861455767435815E-4</v>
      </c>
      <c r="AA83">
        <f>100*(Q83/$T$6)</f>
        <v>9.648123115004705E-4</v>
      </c>
    </row>
    <row r="84" spans="1:27" x14ac:dyDescent="0.3">
      <c r="A84">
        <v>1968</v>
      </c>
      <c r="B84">
        <v>498185.00167189498</v>
      </c>
      <c r="C84">
        <v>15838008.5198576</v>
      </c>
      <c r="D84">
        <v>11668736.185123701</v>
      </c>
      <c r="E84">
        <v>5863079.9225189602</v>
      </c>
      <c r="F84">
        <v>6403180.7467380399</v>
      </c>
      <c r="G84">
        <v>1819323.00515903</v>
      </c>
      <c r="H84">
        <v>7585894.0058435202</v>
      </c>
      <c r="J84">
        <f t="shared" si="16"/>
        <v>82</v>
      </c>
      <c r="K84">
        <f t="shared" si="17"/>
        <v>3.3301136475394051E-6</v>
      </c>
      <c r="L84">
        <f t="shared" si="18"/>
        <v>1.0586904090813904E-4</v>
      </c>
      <c r="M84">
        <f t="shared" si="19"/>
        <v>7.7999573429971255E-5</v>
      </c>
      <c r="N84">
        <f t="shared" si="20"/>
        <v>3.9191710712025132E-5</v>
      </c>
      <c r="O84">
        <f t="shared" si="21"/>
        <v>4.2802010339158018E-5</v>
      </c>
      <c r="P84">
        <f t="shared" si="22"/>
        <v>1.2161250034485494E-5</v>
      </c>
      <c r="Q84">
        <f t="shared" si="23"/>
        <v>5.0707847632643851E-5</v>
      </c>
      <c r="V84">
        <f t="shared" si="24"/>
        <v>82</v>
      </c>
      <c r="W84">
        <f t="shared" si="13"/>
        <v>2.7356341319932566E-2</v>
      </c>
      <c r="X84">
        <f t="shared" si="14"/>
        <v>1.0788322742734613E-2</v>
      </c>
      <c r="Y84">
        <f t="shared" si="15"/>
        <v>3.9191710712025134E-3</v>
      </c>
      <c r="Z84">
        <f>100*(P84/$T$5)</f>
        <v>7.9798228572739458E-4</v>
      </c>
      <c r="AA84">
        <f>100*(Q84/$T$6)</f>
        <v>9.7440137649200322E-4</v>
      </c>
    </row>
    <row r="85" spans="1:27" x14ac:dyDescent="0.3">
      <c r="A85">
        <v>1992</v>
      </c>
      <c r="B85">
        <v>510421.78368702199</v>
      </c>
      <c r="C85">
        <v>15985534.776507</v>
      </c>
      <c r="D85">
        <v>11963486.9934793</v>
      </c>
      <c r="E85">
        <v>6026197.3147863997</v>
      </c>
      <c r="F85">
        <v>5469026.8320361301</v>
      </c>
      <c r="G85">
        <v>1864040.4907774699</v>
      </c>
      <c r="H85">
        <v>7781248.2656999398</v>
      </c>
      <c r="J85">
        <f t="shared" si="16"/>
        <v>83</v>
      </c>
      <c r="K85">
        <f t="shared" si="17"/>
        <v>3.4119103187635162E-6</v>
      </c>
      <c r="L85">
        <f t="shared" si="18"/>
        <v>1.0685517898734626E-4</v>
      </c>
      <c r="M85">
        <f t="shared" si="19"/>
        <v>7.9969832844112976E-5</v>
      </c>
      <c r="N85">
        <f t="shared" si="20"/>
        <v>4.0282067612208555E-5</v>
      </c>
      <c r="O85">
        <f t="shared" si="21"/>
        <v>3.6557665989546324E-5</v>
      </c>
      <c r="P85">
        <f t="shared" si="22"/>
        <v>1.2460163708405548E-5</v>
      </c>
      <c r="Q85">
        <f t="shared" si="23"/>
        <v>5.2013691615641308E-5</v>
      </c>
      <c r="V85">
        <f t="shared" si="24"/>
        <v>83</v>
      </c>
      <c r="W85">
        <f t="shared" si="13"/>
        <v>2.7611157361071382E-2</v>
      </c>
      <c r="X85">
        <f t="shared" si="14"/>
        <v>1.1060834418272887E-2</v>
      </c>
      <c r="Y85">
        <f t="shared" si="15"/>
        <v>4.0282067612208558E-3</v>
      </c>
      <c r="Z85">
        <f>100*(P85/$T$5)</f>
        <v>8.1759604385863176E-4</v>
      </c>
      <c r="AA85">
        <f>100*(Q85/$T$6)</f>
        <v>9.9949445840971001E-4</v>
      </c>
    </row>
    <row r="86" spans="1:27" x14ac:dyDescent="0.3">
      <c r="A86">
        <v>2016</v>
      </c>
      <c r="B86">
        <v>522807.31692995399</v>
      </c>
      <c r="C86">
        <v>16143875.980308101</v>
      </c>
      <c r="D86">
        <v>12260641.8810127</v>
      </c>
      <c r="E86">
        <v>6189413.1714910297</v>
      </c>
      <c r="F86">
        <v>4461146.6466199299</v>
      </c>
      <c r="G86">
        <v>1909320.0511749601</v>
      </c>
      <c r="H86">
        <v>7908108.20968711</v>
      </c>
      <c r="J86">
        <f t="shared" si="16"/>
        <v>84</v>
      </c>
      <c r="K86">
        <f t="shared" si="17"/>
        <v>3.4947013163766979E-6</v>
      </c>
      <c r="L86">
        <f t="shared" si="18"/>
        <v>1.0791360949403811E-4</v>
      </c>
      <c r="M86">
        <f t="shared" si="19"/>
        <v>8.1956162306234627E-5</v>
      </c>
      <c r="N86">
        <f t="shared" si="20"/>
        <v>4.1373082697132554E-5</v>
      </c>
      <c r="O86">
        <f t="shared" si="21"/>
        <v>2.9820498974732151E-5</v>
      </c>
      <c r="P86">
        <f t="shared" si="22"/>
        <v>1.2762834566677541E-5</v>
      </c>
      <c r="Q86">
        <f t="shared" si="23"/>
        <v>5.2861685893630413E-5</v>
      </c>
      <c r="V86">
        <f t="shared" si="24"/>
        <v>84</v>
      </c>
      <c r="W86">
        <f t="shared" si="13"/>
        <v>2.7884653616030521E-2</v>
      </c>
      <c r="X86">
        <f t="shared" si="14"/>
        <v>1.1335568783711567E-2</v>
      </c>
      <c r="Y86">
        <f t="shared" si="15"/>
        <v>4.1373082697132553E-3</v>
      </c>
      <c r="Z86">
        <f>100*(P86/$T$5)</f>
        <v>8.3745633639616417E-4</v>
      </c>
      <c r="AA86">
        <f>100*(Q86/$T$6)</f>
        <v>1.0157895060267182E-3</v>
      </c>
    </row>
    <row r="87" spans="1:27" x14ac:dyDescent="0.3">
      <c r="A87">
        <v>2040</v>
      </c>
      <c r="B87">
        <v>535341.61105182196</v>
      </c>
      <c r="C87">
        <v>16314038.949554401</v>
      </c>
      <c r="D87">
        <v>12560095.7301884</v>
      </c>
      <c r="E87">
        <v>6352279.92954103</v>
      </c>
      <c r="F87">
        <v>3388085.5156146199</v>
      </c>
      <c r="G87">
        <v>1955162.78223969</v>
      </c>
      <c r="H87">
        <v>8037252.7043679301</v>
      </c>
      <c r="J87">
        <f t="shared" si="16"/>
        <v>85</v>
      </c>
      <c r="K87">
        <f t="shared" si="17"/>
        <v>3.5784867048918581E-6</v>
      </c>
      <c r="L87">
        <f t="shared" si="18"/>
        <v>1.0905106249702139E-4</v>
      </c>
      <c r="M87">
        <f t="shared" si="19"/>
        <v>8.3957859159013366E-5</v>
      </c>
      <c r="N87">
        <f t="shared" si="20"/>
        <v>4.2461764234899931E-5</v>
      </c>
      <c r="O87">
        <f t="shared" si="21"/>
        <v>2.2647630451969386E-5</v>
      </c>
      <c r="P87">
        <f t="shared" si="22"/>
        <v>1.3069269934757286E-5</v>
      </c>
      <c r="Q87">
        <f t="shared" si="23"/>
        <v>5.372495123240595E-5</v>
      </c>
      <c r="V87">
        <f t="shared" si="24"/>
        <v>85</v>
      </c>
      <c r="W87">
        <f t="shared" si="13"/>
        <v>2.8178569120677361E-2</v>
      </c>
      <c r="X87">
        <f t="shared" si="14"/>
        <v>1.1612428652698945E-2</v>
      </c>
      <c r="Y87">
        <f t="shared" si="15"/>
        <v>4.246176423489993E-3</v>
      </c>
      <c r="Z87">
        <f>100*(P87/$T$5)</f>
        <v>8.5756364401294528E-4</v>
      </c>
      <c r="AA87">
        <f>100*(Q87/$T$6)</f>
        <v>1.0323780021599914E-3</v>
      </c>
    </row>
    <row r="88" spans="1:27" x14ac:dyDescent="0.3">
      <c r="A88">
        <v>2064</v>
      </c>
      <c r="B88">
        <v>548024.67561805702</v>
      </c>
      <c r="C88">
        <v>16497048.0285747</v>
      </c>
      <c r="D88">
        <v>12861741.524359699</v>
      </c>
      <c r="E88">
        <v>6514413.9493862996</v>
      </c>
      <c r="F88">
        <v>2271150.78319907</v>
      </c>
      <c r="G88">
        <v>2001569.7384756</v>
      </c>
      <c r="H88">
        <v>8162823.5462536504</v>
      </c>
      <c r="J88">
        <f t="shared" si="16"/>
        <v>86</v>
      </c>
      <c r="K88">
        <f t="shared" si="17"/>
        <v>3.6632665482490441E-6</v>
      </c>
      <c r="L88">
        <f t="shared" si="18"/>
        <v>1.1027438521774531E-4</v>
      </c>
      <c r="M88">
        <f t="shared" si="19"/>
        <v>8.5974208050532748E-5</v>
      </c>
      <c r="N88">
        <f t="shared" si="20"/>
        <v>4.3545547790015372E-5</v>
      </c>
      <c r="O88">
        <f t="shared" si="21"/>
        <v>1.5181489192507153E-5</v>
      </c>
      <c r="P88">
        <f t="shared" si="22"/>
        <v>1.3379476861467914E-5</v>
      </c>
      <c r="Q88">
        <f t="shared" si="23"/>
        <v>5.4564328517738303E-5</v>
      </c>
      <c r="V88">
        <f t="shared" si="24"/>
        <v>86</v>
      </c>
      <c r="W88">
        <f t="shared" si="13"/>
        <v>2.8494673182879921E-2</v>
      </c>
      <c r="X88">
        <f t="shared" si="14"/>
        <v>1.1891315083061238E-2</v>
      </c>
      <c r="Y88">
        <f t="shared" si="15"/>
        <v>4.354554779001537E-3</v>
      </c>
      <c r="Z88">
        <f>100*(P88/$T$5)</f>
        <v>8.7791842923017798E-4</v>
      </c>
      <c r="AA88">
        <f>100*(Q88/$T$6)</f>
        <v>1.0485074657520812E-3</v>
      </c>
    </row>
    <row r="89" spans="1:27" x14ac:dyDescent="0.3">
      <c r="A89">
        <v>2088</v>
      </c>
      <c r="B89">
        <v>560856.52011048503</v>
      </c>
      <c r="C89">
        <v>16693939.738473799</v>
      </c>
      <c r="D89">
        <v>13165470.4546219</v>
      </c>
      <c r="E89">
        <v>6675503.1385828499</v>
      </c>
      <c r="F89">
        <v>1209048.1983071801</v>
      </c>
      <c r="G89">
        <v>2048542.0231198401</v>
      </c>
      <c r="H89">
        <v>8190279.8879698804</v>
      </c>
      <c r="J89">
        <f t="shared" si="16"/>
        <v>87</v>
      </c>
      <c r="K89">
        <f t="shared" si="17"/>
        <v>3.7490409098294452E-6</v>
      </c>
      <c r="L89">
        <f t="shared" si="18"/>
        <v>1.1159050627322058E-4</v>
      </c>
      <c r="M89">
        <f t="shared" si="19"/>
        <v>8.8004481648542115E-5</v>
      </c>
      <c r="N89">
        <f t="shared" si="20"/>
        <v>4.4622347183040442E-5</v>
      </c>
      <c r="O89">
        <f t="shared" si="21"/>
        <v>8.0818729833367655E-6</v>
      </c>
      <c r="P89">
        <f t="shared" si="22"/>
        <v>1.3693462721389306E-5</v>
      </c>
      <c r="Q89">
        <f t="shared" si="23"/>
        <v>5.474786021370241E-5</v>
      </c>
      <c r="V89">
        <f t="shared" si="24"/>
        <v>87</v>
      </c>
      <c r="W89">
        <f t="shared" si="13"/>
        <v>2.883475614295105E-2</v>
      </c>
      <c r="X89">
        <f t="shared" si="14"/>
        <v>1.2172127475593654E-2</v>
      </c>
      <c r="Y89">
        <f t="shared" si="15"/>
        <v>4.4622347183040445E-3</v>
      </c>
      <c r="Z89">
        <f>100*(P89/$T$5)</f>
        <v>8.9852117594418023E-4</v>
      </c>
      <c r="AA89">
        <f>100*(Q89/$T$6)</f>
        <v>1.0520342085646121E-3</v>
      </c>
    </row>
    <row r="90" spans="1:27" x14ac:dyDescent="0.3">
      <c r="A90">
        <v>2112</v>
      </c>
      <c r="B90">
        <v>573837.15391135996</v>
      </c>
      <c r="C90">
        <v>16905756.041720498</v>
      </c>
      <c r="D90">
        <v>13471172.0271041</v>
      </c>
      <c r="E90">
        <v>6835310.9785433197</v>
      </c>
      <c r="F90">
        <v>955233.46916105004</v>
      </c>
      <c r="G90">
        <v>2096080.7540488399</v>
      </c>
      <c r="H90">
        <v>8288202.9788790299</v>
      </c>
      <c r="J90">
        <f t="shared" si="16"/>
        <v>88</v>
      </c>
      <c r="K90">
        <f t="shared" si="17"/>
        <v>3.8358098523486628E-6</v>
      </c>
      <c r="L90">
        <f t="shared" si="18"/>
        <v>1.1300639065321188E-4</v>
      </c>
      <c r="M90">
        <f t="shared" si="19"/>
        <v>9.004794135764773E-5</v>
      </c>
      <c r="N90">
        <f t="shared" si="20"/>
        <v>4.569058140737513E-5</v>
      </c>
      <c r="O90">
        <f t="shared" si="21"/>
        <v>6.3852504623064842E-6</v>
      </c>
      <c r="P90">
        <f t="shared" si="22"/>
        <v>1.4011234986957486E-5</v>
      </c>
      <c r="Q90">
        <f t="shared" si="23"/>
        <v>5.540242632940528E-5</v>
      </c>
      <c r="V90">
        <f t="shared" si="24"/>
        <v>88</v>
      </c>
      <c r="W90">
        <f t="shared" si="13"/>
        <v>2.9200617739848032E-2</v>
      </c>
      <c r="X90">
        <f t="shared" si="14"/>
        <v>1.2454763673256947E-2</v>
      </c>
      <c r="Y90">
        <f t="shared" si="15"/>
        <v>4.5690581407375128E-3</v>
      </c>
      <c r="Z90">
        <f>100*(P90/$T$5)</f>
        <v>9.1937237447227589E-4</v>
      </c>
      <c r="AA90">
        <f>100*(Q90/$T$6)</f>
        <v>1.0646123429939524E-3</v>
      </c>
    </row>
    <row r="91" spans="1:27" x14ac:dyDescent="0.3">
      <c r="A91">
        <v>2136</v>
      </c>
      <c r="B91">
        <v>586966.58631739195</v>
      </c>
      <c r="C91">
        <v>17133535.982710999</v>
      </c>
      <c r="D91">
        <v>13778734.173455499</v>
      </c>
      <c r="E91">
        <v>6993677.1561592799</v>
      </c>
      <c r="F91">
        <v>2005334.69595927</v>
      </c>
      <c r="G91">
        <v>2144186.9798490298</v>
      </c>
      <c r="H91">
        <v>8403565.1517779808</v>
      </c>
      <c r="J91">
        <f t="shared" si="16"/>
        <v>89</v>
      </c>
      <c r="K91">
        <f t="shared" si="17"/>
        <v>3.9235734379504812E-6</v>
      </c>
      <c r="L91">
        <f t="shared" si="18"/>
        <v>1.1452898384165106E-4</v>
      </c>
      <c r="M91">
        <f t="shared" si="19"/>
        <v>9.2103838057857617E-5</v>
      </c>
      <c r="N91">
        <f t="shared" si="20"/>
        <v>4.6749178851332083E-5</v>
      </c>
      <c r="O91">
        <f t="shared" si="21"/>
        <v>1.3404643689567313E-5</v>
      </c>
      <c r="P91">
        <f t="shared" si="22"/>
        <v>1.4332800667440039E-5</v>
      </c>
      <c r="Q91">
        <f t="shared" si="23"/>
        <v>5.6173563848783296E-5</v>
      </c>
      <c r="V91">
        <f t="shared" si="24"/>
        <v>89</v>
      </c>
      <c r="W91">
        <f t="shared" si="13"/>
        <v>2.9594052672261253E-2</v>
      </c>
      <c r="X91">
        <f t="shared" si="14"/>
        <v>1.2739120063327473E-2</v>
      </c>
      <c r="Y91">
        <f t="shared" si="15"/>
        <v>4.6749178851332087E-3</v>
      </c>
      <c r="Z91">
        <f>100*(P91/$T$5)</f>
        <v>9.4047248474016004E-4</v>
      </c>
      <c r="AA91">
        <f>100*(Q91/$T$6)</f>
        <v>1.0794305120826922E-3</v>
      </c>
    </row>
    <row r="92" spans="1:27" x14ac:dyDescent="0.3">
      <c r="A92">
        <v>2160</v>
      </c>
      <c r="B92">
        <v>600244.82652763405</v>
      </c>
      <c r="C92">
        <v>17378305.419402499</v>
      </c>
      <c r="D92">
        <v>14088043.361694001</v>
      </c>
      <c r="E92">
        <v>7150517.30193769</v>
      </c>
      <c r="F92">
        <v>3357383.3977193502</v>
      </c>
      <c r="G92">
        <v>2192861.6767889601</v>
      </c>
      <c r="H92">
        <v>8633736.7432900295</v>
      </c>
      <c r="J92">
        <f t="shared" si="16"/>
        <v>90</v>
      </c>
      <c r="K92">
        <f t="shared" si="17"/>
        <v>4.0123317281258958E-6</v>
      </c>
      <c r="L92">
        <f t="shared" si="18"/>
        <v>1.1616514317782419E-4</v>
      </c>
      <c r="M92">
        <f t="shared" si="19"/>
        <v>9.4171412845548129E-5</v>
      </c>
      <c r="N92">
        <f t="shared" si="20"/>
        <v>4.7797575547711829E-5</v>
      </c>
      <c r="O92">
        <f t="shared" si="21"/>
        <v>2.2442402391172127E-5</v>
      </c>
      <c r="P92">
        <f t="shared" si="22"/>
        <v>1.4658166288696257E-5</v>
      </c>
      <c r="Q92">
        <f t="shared" si="23"/>
        <v>5.7712144005949396E-5</v>
      </c>
      <c r="V92">
        <f t="shared" si="24"/>
        <v>90</v>
      </c>
      <c r="W92">
        <f t="shared" si="13"/>
        <v>3.001683286248687E-2</v>
      </c>
      <c r="X92">
        <f t="shared" si="14"/>
        <v>1.3025091679882176E-2</v>
      </c>
      <c r="Y92">
        <f t="shared" si="15"/>
        <v>4.7797575547711829E-3</v>
      </c>
      <c r="Z92">
        <f>100*(P92/$T$5)</f>
        <v>9.6182193495382266E-4</v>
      </c>
      <c r="AA92">
        <f>100*(Q92/$T$6)</f>
        <v>1.1089958494609798E-3</v>
      </c>
    </row>
    <row r="93" spans="1:27" x14ac:dyDescent="0.3">
      <c r="A93">
        <v>2184</v>
      </c>
      <c r="B93">
        <v>613671.88365032896</v>
      </c>
      <c r="C93">
        <v>17641064.518524501</v>
      </c>
      <c r="D93">
        <v>14398984.710794801</v>
      </c>
      <c r="E93">
        <v>7305826.5886497097</v>
      </c>
      <c r="F93">
        <v>4805345.0071269097</v>
      </c>
      <c r="G93">
        <v>2242105.8931844402</v>
      </c>
      <c r="H93">
        <v>8758705.1065530702</v>
      </c>
      <c r="J93">
        <f t="shared" si="16"/>
        <v>91</v>
      </c>
      <c r="K93">
        <f t="shared" si="17"/>
        <v>4.1020847837588835E-6</v>
      </c>
      <c r="L93">
        <f t="shared" si="18"/>
        <v>1.1792155426821191E-4</v>
      </c>
      <c r="M93">
        <f t="shared" si="19"/>
        <v>9.6249897799430482E-5</v>
      </c>
      <c r="N93">
        <f t="shared" si="20"/>
        <v>4.883573922894191E-5</v>
      </c>
      <c r="O93">
        <f t="shared" si="21"/>
        <v>3.2121290154591644E-5</v>
      </c>
      <c r="P93">
        <f t="shared" si="22"/>
        <v>1.4987338858184761E-5</v>
      </c>
      <c r="Q93">
        <f t="shared" si="23"/>
        <v>5.8547494027761164E-5</v>
      </c>
      <c r="V93">
        <f t="shared" si="24"/>
        <v>91</v>
      </c>
      <c r="W93">
        <f t="shared" si="13"/>
        <v>3.0470685857419098E-2</v>
      </c>
      <c r="X93">
        <f t="shared" si="14"/>
        <v>1.3312572309741422E-2</v>
      </c>
      <c r="Y93">
        <f t="shared" si="15"/>
        <v>4.8835739228941912E-3</v>
      </c>
      <c r="Z93">
        <f>100*(P93/$T$5)</f>
        <v>9.8342118492026004E-4</v>
      </c>
      <c r="AA93">
        <f>100*(Q93/$T$6)</f>
        <v>1.1250479252067865E-3</v>
      </c>
    </row>
    <row r="94" spans="1:27" x14ac:dyDescent="0.3">
      <c r="A94">
        <v>2208</v>
      </c>
      <c r="B94">
        <v>627247.76670569496</v>
      </c>
      <c r="C94">
        <v>17922772.626421701</v>
      </c>
      <c r="D94">
        <v>14711442.102378801</v>
      </c>
      <c r="E94">
        <v>7459693.2760874396</v>
      </c>
      <c r="F94">
        <v>6308667.0506459903</v>
      </c>
      <c r="G94">
        <v>2291920.8549268302</v>
      </c>
      <c r="H94">
        <v>8876714.6031734701</v>
      </c>
      <c r="J94">
        <f t="shared" si="16"/>
        <v>92</v>
      </c>
      <c r="K94">
        <f t="shared" si="17"/>
        <v>4.1928326651450198E-6</v>
      </c>
      <c r="L94">
        <f t="shared" si="18"/>
        <v>1.1980462985576003E-4</v>
      </c>
      <c r="M94">
        <f t="shared" si="19"/>
        <v>9.833851672713102E-5</v>
      </c>
      <c r="N94">
        <f t="shared" si="20"/>
        <v>4.9864259866894648E-5</v>
      </c>
      <c r="O94">
        <f t="shared" si="21"/>
        <v>4.2170234295761968E-5</v>
      </c>
      <c r="P94">
        <f t="shared" si="22"/>
        <v>1.5320326570366512E-5</v>
      </c>
      <c r="Q94">
        <f t="shared" si="23"/>
        <v>5.933632756131999E-5</v>
      </c>
      <c r="V94">
        <f t="shared" si="24"/>
        <v>92</v>
      </c>
      <c r="W94">
        <f t="shared" si="13"/>
        <v>3.0957268696578815E-2</v>
      </c>
      <c r="X94">
        <f t="shared" si="14"/>
        <v>1.3601454595730433E-2</v>
      </c>
      <c r="Y94">
        <f t="shared" si="15"/>
        <v>4.9864259866894646E-3</v>
      </c>
      <c r="Z94">
        <f>100*(P94/$T$5)</f>
        <v>1.0052707723337605E-3</v>
      </c>
      <c r="AA94">
        <f>100*(Q94/$T$6)</f>
        <v>1.1402061406863948E-3</v>
      </c>
    </row>
    <row r="95" spans="1:27" x14ac:dyDescent="0.3">
      <c r="A95">
        <v>2232</v>
      </c>
      <c r="B95">
        <v>640972.48463314597</v>
      </c>
      <c r="C95">
        <v>18224330.087653801</v>
      </c>
      <c r="D95">
        <v>15025298.297873899</v>
      </c>
      <c r="E95">
        <v>7612328.0493299104</v>
      </c>
      <c r="F95">
        <v>7843950.1793050002</v>
      </c>
      <c r="G95">
        <v>2342307.8691798002</v>
      </c>
      <c r="H95">
        <v>8949247.7725517806</v>
      </c>
      <c r="J95">
        <f t="shared" si="16"/>
        <v>93</v>
      </c>
      <c r="K95">
        <f t="shared" si="17"/>
        <v>4.2845754320397456E-6</v>
      </c>
      <c r="L95">
        <f t="shared" si="18"/>
        <v>1.2182038828645589E-4</v>
      </c>
      <c r="M95">
        <f t="shared" si="19"/>
        <v>1.0043648594835495E-4</v>
      </c>
      <c r="N95">
        <f t="shared" si="20"/>
        <v>5.0884545784290845E-5</v>
      </c>
      <c r="O95">
        <f t="shared" si="21"/>
        <v>5.243282205417781E-5</v>
      </c>
      <c r="P95">
        <f t="shared" si="22"/>
        <v>1.5657138162966578E-5</v>
      </c>
      <c r="Q95">
        <f t="shared" si="23"/>
        <v>5.9821174950212434E-5</v>
      </c>
      <c r="V95">
        <f t="shared" si="24"/>
        <v>93</v>
      </c>
      <c r="W95">
        <f t="shared" si="13"/>
        <v>3.1478136508128141E-2</v>
      </c>
      <c r="X95">
        <f t="shared" si="14"/>
        <v>1.3891630145000685E-2</v>
      </c>
      <c r="Y95">
        <f t="shared" si="15"/>
        <v>5.0884545784290842E-3</v>
      </c>
      <c r="Z95">
        <f>100*(P95/$T$5)</f>
        <v>1.0273712705358648E-3</v>
      </c>
      <c r="AA95">
        <f>100*(Q95/$T$6)</f>
        <v>1.1495229621485863E-3</v>
      </c>
    </row>
    <row r="96" spans="1:27" x14ac:dyDescent="0.3">
      <c r="A96">
        <v>2256</v>
      </c>
      <c r="B96">
        <v>654846.04629736603</v>
      </c>
      <c r="C96">
        <v>18546556.523556702</v>
      </c>
      <c r="D96">
        <v>15340435.053815501</v>
      </c>
      <c r="E96">
        <v>7764111.8714786097</v>
      </c>
      <c r="F96">
        <v>9386263.3179220203</v>
      </c>
      <c r="G96">
        <v>2393268.1082652798</v>
      </c>
      <c r="H96">
        <v>8923480.0302118808</v>
      </c>
      <c r="J96">
        <f t="shared" si="16"/>
        <v>94</v>
      </c>
      <c r="K96">
        <f t="shared" si="17"/>
        <v>4.3773131436989711E-6</v>
      </c>
      <c r="L96">
        <f t="shared" si="18"/>
        <v>1.239743083125448E-4</v>
      </c>
      <c r="M96">
        <f t="shared" si="19"/>
        <v>1.0254301506561164E-4</v>
      </c>
      <c r="N96">
        <f t="shared" si="20"/>
        <v>5.1899143525926535E-5</v>
      </c>
      <c r="O96">
        <f t="shared" si="21"/>
        <v>6.2742401857767511E-5</v>
      </c>
      <c r="P96">
        <f t="shared" si="22"/>
        <v>1.5997781472361495E-5</v>
      </c>
      <c r="Q96">
        <f t="shared" si="23"/>
        <v>5.9648930683234495E-5</v>
      </c>
      <c r="V96">
        <f t="shared" si="24"/>
        <v>94</v>
      </c>
      <c r="W96">
        <f t="shared" si="13"/>
        <v>3.2034704990321648E-2</v>
      </c>
      <c r="X96">
        <f t="shared" si="14"/>
        <v>1.4182989635630933E-2</v>
      </c>
      <c r="Y96">
        <f t="shared" si="15"/>
        <v>5.1899143525926533E-3</v>
      </c>
      <c r="Z96">
        <f>100*(P96/$T$5)</f>
        <v>1.0497231937245074E-3</v>
      </c>
      <c r="AA96">
        <f>100*(Q96/$T$6)</f>
        <v>1.1462131184326384E-3</v>
      </c>
    </row>
    <row r="97" spans="1:27" x14ac:dyDescent="0.3">
      <c r="A97">
        <v>2280</v>
      </c>
      <c r="B97">
        <v>668868.46050615003</v>
      </c>
      <c r="C97">
        <v>18890165.062239401</v>
      </c>
      <c r="D97">
        <v>15656733.2390563</v>
      </c>
      <c r="E97">
        <v>7915657.2080367599</v>
      </c>
      <c r="F97">
        <v>10903959.2683776</v>
      </c>
      <c r="G97">
        <v>2444802.57972652</v>
      </c>
      <c r="H97">
        <v>8929773.5296022408</v>
      </c>
      <c r="J97">
        <f t="shared" si="16"/>
        <v>95</v>
      </c>
      <c r="K97">
        <f t="shared" si="17"/>
        <v>4.4710458589983293E-6</v>
      </c>
      <c r="L97">
        <f t="shared" si="18"/>
        <v>1.2627115683315108E-4</v>
      </c>
      <c r="M97">
        <f t="shared" si="19"/>
        <v>1.0465730774770254E-4</v>
      </c>
      <c r="N97">
        <f t="shared" si="20"/>
        <v>5.2912147112545186E-5</v>
      </c>
      <c r="O97">
        <f t="shared" si="21"/>
        <v>7.2887428264556151E-5</v>
      </c>
      <c r="P97">
        <f t="shared" si="22"/>
        <v>1.6342263233466041E-5</v>
      </c>
      <c r="Q97">
        <f t="shared" si="23"/>
        <v>5.9690999529426741E-5</v>
      </c>
      <c r="V97">
        <f t="shared" si="24"/>
        <v>95</v>
      </c>
      <c r="W97">
        <f t="shared" si="13"/>
        <v>3.2628205900039037E-2</v>
      </c>
      <c r="X97">
        <f t="shared" si="14"/>
        <v>1.4475422924993436E-2</v>
      </c>
      <c r="Y97">
        <f t="shared" si="15"/>
        <v>5.2912147112545186E-3</v>
      </c>
      <c r="Z97">
        <f>100*(P97/$T$5)</f>
        <v>1.072326983823231E-3</v>
      </c>
      <c r="AA97">
        <f>100*(Q97/$T$6)</f>
        <v>1.1470215128636962E-3</v>
      </c>
    </row>
    <row r="98" spans="1:27" x14ac:dyDescent="0.3">
      <c r="A98">
        <v>2304</v>
      </c>
      <c r="B98">
        <v>683039.736026595</v>
      </c>
      <c r="C98">
        <v>19255732.009855699</v>
      </c>
      <c r="D98">
        <v>15974072.953013601</v>
      </c>
      <c r="E98">
        <v>8067863.5175421098</v>
      </c>
      <c r="F98">
        <v>12356893.1142867</v>
      </c>
      <c r="G98">
        <v>2496912.2851080499</v>
      </c>
      <c r="H98">
        <v>8956182.8065579906</v>
      </c>
      <c r="J98">
        <f t="shared" si="16"/>
        <v>96</v>
      </c>
      <c r="K98">
        <f t="shared" si="17"/>
        <v>4.5657736365414108E-6</v>
      </c>
      <c r="L98">
        <f t="shared" si="18"/>
        <v>1.2871478616213703E-4</v>
      </c>
      <c r="M98">
        <f t="shared" si="19"/>
        <v>1.067785625201444E-4</v>
      </c>
      <c r="N98">
        <f t="shared" si="20"/>
        <v>5.3929568967527475E-5</v>
      </c>
      <c r="O98">
        <f t="shared" si="21"/>
        <v>8.2599552902985968E-5</v>
      </c>
      <c r="P98">
        <f t="shared" si="22"/>
        <v>1.6690590141096588E-5</v>
      </c>
      <c r="Q98">
        <f t="shared" si="23"/>
        <v>5.9867532129398333E-5</v>
      </c>
      <c r="V98">
        <f t="shared" si="24"/>
        <v>96</v>
      </c>
      <c r="W98">
        <f t="shared" si="13"/>
        <v>3.3259634667218874E-2</v>
      </c>
      <c r="X98">
        <f t="shared" si="14"/>
        <v>1.4768819159079447E-2</v>
      </c>
      <c r="Y98">
        <f t="shared" si="15"/>
        <v>5.3929568967527475E-3</v>
      </c>
      <c r="Z98">
        <f>100*(P98/$T$5)</f>
        <v>1.0951830801244481E-3</v>
      </c>
      <c r="AA98">
        <f>100*(Q98/$T$6)</f>
        <v>1.1504137611337113E-3</v>
      </c>
    </row>
    <row r="99" spans="1:27" x14ac:dyDescent="0.3">
      <c r="A99">
        <v>2328</v>
      </c>
      <c r="B99">
        <v>697359.88153944002</v>
      </c>
      <c r="C99">
        <v>19643661.500725701</v>
      </c>
      <c r="D99">
        <v>16292333.643217901</v>
      </c>
      <c r="E99">
        <v>8221930.89764704</v>
      </c>
      <c r="F99">
        <v>13697301.051661899</v>
      </c>
      <c r="G99">
        <v>2549598.3597253999</v>
      </c>
      <c r="H99">
        <v>9126665.2997225393</v>
      </c>
      <c r="J99">
        <f t="shared" si="16"/>
        <v>97</v>
      </c>
      <c r="K99">
        <f t="shared" si="17"/>
        <v>4.6614965343545456E-6</v>
      </c>
      <c r="L99">
        <f t="shared" si="18"/>
        <v>1.3130789773212366E-4</v>
      </c>
      <c r="M99">
        <f t="shared" si="19"/>
        <v>1.0890597355092179E-4</v>
      </c>
      <c r="N99">
        <f t="shared" si="20"/>
        <v>5.4959431134004277E-5</v>
      </c>
      <c r="O99">
        <f t="shared" si="21"/>
        <v>9.1559499008435154E-5</v>
      </c>
      <c r="P99">
        <f t="shared" si="22"/>
        <v>1.7042769784260695E-5</v>
      </c>
      <c r="Q99">
        <f t="shared" si="23"/>
        <v>6.1007120987450128E-5</v>
      </c>
      <c r="V99">
        <f t="shared" si="24"/>
        <v>97</v>
      </c>
      <c r="W99">
        <f t="shared" si="13"/>
        <v>3.3929689336466062E-2</v>
      </c>
      <c r="X99">
        <f t="shared" si="14"/>
        <v>1.5063066881178673E-2</v>
      </c>
      <c r="Y99">
        <f t="shared" si="15"/>
        <v>5.4959431134004276E-3</v>
      </c>
      <c r="Z99">
        <f>100*(P99/$T$5)</f>
        <v>1.1182919805945337E-3</v>
      </c>
      <c r="AA99">
        <f>100*(Q99/$T$6)</f>
        <v>1.1723120866151064E-3</v>
      </c>
    </row>
    <row r="100" spans="1:27" x14ac:dyDescent="0.3">
      <c r="A100">
        <v>2352</v>
      </c>
      <c r="B100">
        <v>711828.90599521797</v>
      </c>
      <c r="C100">
        <v>20054144.7996074</v>
      </c>
      <c r="D100">
        <v>16611394.225529499</v>
      </c>
      <c r="E100">
        <v>8379287.7564319102</v>
      </c>
      <c r="F100">
        <v>14873792.689048201</v>
      </c>
      <c r="G100">
        <v>2602862.0209364798</v>
      </c>
      <c r="H100">
        <v>9211122.4056296702</v>
      </c>
      <c r="J100">
        <f t="shared" si="16"/>
        <v>98</v>
      </c>
      <c r="K100">
        <f t="shared" si="17"/>
        <v>4.7582146122674995E-6</v>
      </c>
      <c r="L100">
        <f t="shared" si="18"/>
        <v>1.3405177005085161E-4</v>
      </c>
      <c r="M100">
        <f t="shared" si="19"/>
        <v>1.1103873145407419E-4</v>
      </c>
      <c r="N100">
        <f t="shared" si="20"/>
        <v>5.6011281794330949E-5</v>
      </c>
      <c r="O100">
        <f t="shared" si="21"/>
        <v>9.9423747921445195E-5</v>
      </c>
      <c r="P100">
        <f t="shared" si="22"/>
        <v>1.7398810300377539E-5</v>
      </c>
      <c r="Q100">
        <f t="shared" si="23"/>
        <v>6.1571673834422936E-5</v>
      </c>
      <c r="V100">
        <f t="shared" si="24"/>
        <v>98</v>
      </c>
      <c r="W100">
        <f t="shared" si="13"/>
        <v>3.4638700271537884E-2</v>
      </c>
      <c r="X100">
        <f t="shared" si="14"/>
        <v>1.5358054143025478E-2</v>
      </c>
      <c r="Y100">
        <f t="shared" si="15"/>
        <v>5.6011281794330946E-3</v>
      </c>
      <c r="Z100">
        <f>100*(P100/$T$5)</f>
        <v>1.1416542191848779E-3</v>
      </c>
      <c r="AA100">
        <f>100*(Q100/$T$6)</f>
        <v>1.1831605271795339E-3</v>
      </c>
    </row>
    <row r="101" spans="1:27" x14ac:dyDescent="0.3">
      <c r="A101">
        <v>2376</v>
      </c>
      <c r="B101">
        <v>726446.81806706695</v>
      </c>
      <c r="C101">
        <v>20487114.178491</v>
      </c>
      <c r="D101">
        <v>16931133.201331601</v>
      </c>
      <c r="E101">
        <v>8541408.7641272508</v>
      </c>
      <c r="F101">
        <v>15838218.761653099</v>
      </c>
      <c r="G101">
        <v>2656704.4605020201</v>
      </c>
      <c r="H101">
        <v>9331689.1664087307</v>
      </c>
      <c r="J101">
        <f t="shared" si="16"/>
        <v>99</v>
      </c>
      <c r="K101">
        <f t="shared" si="17"/>
        <v>4.8559279282557955E-6</v>
      </c>
      <c r="L101">
        <f t="shared" si="18"/>
        <v>1.3694595039098263E-4</v>
      </c>
      <c r="M101">
        <f t="shared" si="19"/>
        <v>1.1317602407307219E-4</v>
      </c>
      <c r="N101">
        <f t="shared" si="20"/>
        <v>5.7094978369834562E-5</v>
      </c>
      <c r="O101">
        <f t="shared" si="21"/>
        <v>1.0587044626773463E-4</v>
      </c>
      <c r="P101">
        <f t="shared" si="22"/>
        <v>1.7758719655762166E-5</v>
      </c>
      <c r="Q101">
        <f t="shared" si="23"/>
        <v>6.2377601379737501E-5</v>
      </c>
      <c r="V101">
        <f t="shared" si="24"/>
        <v>99</v>
      </c>
      <c r="W101">
        <f t="shared" si="13"/>
        <v>3.5386550488625997E-2</v>
      </c>
      <c r="X101">
        <f t="shared" si="14"/>
        <v>1.5653668613149683E-2</v>
      </c>
      <c r="Y101">
        <f t="shared" si="15"/>
        <v>5.7094978369834565E-3</v>
      </c>
      <c r="Z101">
        <f>100*(P101/$T$5)</f>
        <v>1.1652703186195647E-3</v>
      </c>
      <c r="AA101">
        <f>100*(Q101/$T$6)</f>
        <v>1.1986472209788144E-3</v>
      </c>
    </row>
    <row r="102" spans="1:27" x14ac:dyDescent="0.3">
      <c r="A102">
        <v>2400</v>
      </c>
      <c r="B102">
        <v>741213.626699785</v>
      </c>
      <c r="C102">
        <v>20942191.6933132</v>
      </c>
      <c r="D102">
        <v>17251428.776876301</v>
      </c>
      <c r="E102">
        <v>8709555.2893806193</v>
      </c>
      <c r="F102">
        <v>16553615.2215406</v>
      </c>
      <c r="G102">
        <v>2711126.8323638602</v>
      </c>
      <c r="H102">
        <v>9418378.8056136705</v>
      </c>
      <c r="J102">
        <f t="shared" si="16"/>
        <v>100</v>
      </c>
      <c r="K102">
        <f t="shared" si="17"/>
        <v>4.954636542110862E-6</v>
      </c>
      <c r="L102">
        <f t="shared" si="18"/>
        <v>1.3998791238845721E-4</v>
      </c>
      <c r="M102">
        <f t="shared" si="19"/>
        <v>1.153170372785849E-4</v>
      </c>
      <c r="N102">
        <f t="shared" si="20"/>
        <v>5.8218952469121786E-5</v>
      </c>
      <c r="O102">
        <f t="shared" si="21"/>
        <v>1.1065250816537834E-4</v>
      </c>
      <c r="P102">
        <f t="shared" si="22"/>
        <v>1.8122505563929547E-5</v>
      </c>
      <c r="Q102">
        <f t="shared" si="23"/>
        <v>6.2957077577631494E-5</v>
      </c>
      <c r="V102">
        <f t="shared" si="24"/>
        <v>100</v>
      </c>
      <c r="W102">
        <f t="shared" si="13"/>
        <v>3.6172587180479901E-2</v>
      </c>
      <c r="X102">
        <f t="shared" si="14"/>
        <v>1.5949797687217829E-2</v>
      </c>
      <c r="Y102">
        <f t="shared" si="15"/>
        <v>5.8218952469121787E-3</v>
      </c>
      <c r="Z102">
        <f>100*(P102/$T$5)</f>
        <v>1.1891407850347473E-3</v>
      </c>
      <c r="AA102">
        <f>100*(Q102/$T$6)</f>
        <v>1.2097824284710128E-3</v>
      </c>
    </row>
    <row r="103" spans="1:27" x14ac:dyDescent="0.3">
      <c r="A103">
        <v>2424</v>
      </c>
      <c r="B103">
        <v>756129.34109062597</v>
      </c>
      <c r="C103">
        <v>21418633.8008608</v>
      </c>
      <c r="D103">
        <v>17572158.9837582</v>
      </c>
      <c r="E103">
        <v>8884531.9080264792</v>
      </c>
      <c r="F103">
        <v>17000231.232843202</v>
      </c>
      <c r="G103">
        <v>2766130.3222731501</v>
      </c>
      <c r="H103">
        <v>9451834.6441605296</v>
      </c>
      <c r="J103">
        <f t="shared" si="16"/>
        <v>101</v>
      </c>
      <c r="K103">
        <f t="shared" si="17"/>
        <v>5.0543405153116706E-6</v>
      </c>
      <c r="L103">
        <f t="shared" si="18"/>
        <v>1.4317268583463101E-4</v>
      </c>
      <c r="M103">
        <f t="shared" si="19"/>
        <v>1.1746095577378476E-4</v>
      </c>
      <c r="N103">
        <f t="shared" si="20"/>
        <v>5.9388582272904271E-5</v>
      </c>
      <c r="O103">
        <f t="shared" si="21"/>
        <v>1.1363790931044921E-4</v>
      </c>
      <c r="P103">
        <f t="shared" si="22"/>
        <v>1.8490175951023731E-5</v>
      </c>
      <c r="Q103">
        <f t="shared" si="23"/>
        <v>6.3180712862035625E-5</v>
      </c>
      <c r="V103">
        <f t="shared" si="24"/>
        <v>101</v>
      </c>
      <c r="W103">
        <f t="shared" si="13"/>
        <v>3.6995526055460207E-2</v>
      </c>
      <c r="X103">
        <f t="shared" si="14"/>
        <v>1.6246328599416979E-2</v>
      </c>
      <c r="Y103">
        <f t="shared" si="15"/>
        <v>5.9388582272904269E-3</v>
      </c>
      <c r="Z103">
        <f>100*(P103/$T$5)</f>
        <v>1.2132661385186175E-3</v>
      </c>
      <c r="AA103">
        <f>100*(Q103/$T$6)</f>
        <v>1.2140798013458038E-3</v>
      </c>
    </row>
    <row r="104" spans="1:27" x14ac:dyDescent="0.3">
      <c r="A104">
        <v>2448</v>
      </c>
      <c r="B104">
        <v>771193.97056671896</v>
      </c>
      <c r="C104">
        <v>21915273.598513499</v>
      </c>
      <c r="D104">
        <v>17893201.796414699</v>
      </c>
      <c r="E104">
        <v>9066562.8124000691</v>
      </c>
      <c r="F104">
        <v>17177142.724840298</v>
      </c>
      <c r="G104">
        <v>2821716.1634534299</v>
      </c>
      <c r="H104">
        <v>9510067.0311650094</v>
      </c>
      <c r="J104">
        <f t="shared" si="16"/>
        <v>102</v>
      </c>
      <c r="K104">
        <f t="shared" si="17"/>
        <v>5.155039910205341E-6</v>
      </c>
      <c r="L104">
        <f t="shared" si="18"/>
        <v>1.4649247057829879E-4</v>
      </c>
      <c r="M104">
        <f t="shared" si="19"/>
        <v>1.1960696387977741E-4</v>
      </c>
      <c r="N104">
        <f t="shared" si="20"/>
        <v>6.0605366393048591E-5</v>
      </c>
      <c r="O104">
        <f t="shared" si="21"/>
        <v>1.1482047275962766E-4</v>
      </c>
      <c r="P104">
        <f t="shared" si="22"/>
        <v>1.8861739060517579E-5</v>
      </c>
      <c r="Q104">
        <f t="shared" si="23"/>
        <v>6.3569966785862359E-5</v>
      </c>
      <c r="V104">
        <f t="shared" si="24"/>
        <v>102</v>
      </c>
      <c r="W104">
        <f t="shared" si="13"/>
        <v>3.7853351570619843E-2</v>
      </c>
      <c r="X104">
        <f t="shared" si="14"/>
        <v>1.6543148531089544E-2</v>
      </c>
      <c r="Y104">
        <f t="shared" si="15"/>
        <v>6.0605366393048591E-3</v>
      </c>
      <c r="Z104">
        <f>100*(P104/$T$5)</f>
        <v>1.2376469199814686E-3</v>
      </c>
      <c r="AA104">
        <f>100*(Q104/$T$6)</f>
        <v>1.2215596999589232E-3</v>
      </c>
    </row>
    <row r="105" spans="1:27" x14ac:dyDescent="0.3">
      <c r="A105">
        <v>2472</v>
      </c>
      <c r="B105">
        <v>786407.52469356603</v>
      </c>
      <c r="C105">
        <v>22430463.5777473</v>
      </c>
      <c r="D105">
        <v>18214435.2518612</v>
      </c>
      <c r="E105">
        <v>9255329.6907031592</v>
      </c>
      <c r="F105">
        <v>17099118.7250464</v>
      </c>
      <c r="G105">
        <v>2877885.52474492</v>
      </c>
      <c r="H105">
        <v>9603599.4794192705</v>
      </c>
      <c r="J105">
        <f t="shared" si="16"/>
        <v>103</v>
      </c>
      <c r="K105">
        <f t="shared" si="17"/>
        <v>5.2567347907323932E-6</v>
      </c>
      <c r="L105">
        <f t="shared" si="18"/>
        <v>1.4993625386194721E-4</v>
      </c>
      <c r="M105">
        <f t="shared" si="19"/>
        <v>1.2175424633597058E-4</v>
      </c>
      <c r="N105">
        <f t="shared" si="20"/>
        <v>6.1867177076892777E-5</v>
      </c>
      <c r="O105">
        <f t="shared" si="21"/>
        <v>1.1429892195886632E-4</v>
      </c>
      <c r="P105">
        <f t="shared" si="22"/>
        <v>1.923720270551417E-5</v>
      </c>
      <c r="Q105">
        <f t="shared" si="23"/>
        <v>6.4195183685957684E-5</v>
      </c>
      <c r="V105">
        <f t="shared" si="24"/>
        <v>103</v>
      </c>
      <c r="W105">
        <f t="shared" si="13"/>
        <v>3.874321805218274E-2</v>
      </c>
      <c r="X105">
        <f t="shared" si="14"/>
        <v>1.6840144721434382E-2</v>
      </c>
      <c r="Y105">
        <f t="shared" si="15"/>
        <v>6.1867177076892774E-3</v>
      </c>
      <c r="Z105">
        <f>100*(P105/$T$5)</f>
        <v>1.2622836420941056E-3</v>
      </c>
      <c r="AA105">
        <f>100*(Q105/$T$6)</f>
        <v>1.2335738602220923E-3</v>
      </c>
    </row>
    <row r="106" spans="1:27" x14ac:dyDescent="0.3">
      <c r="A106">
        <v>2496</v>
      </c>
      <c r="B106">
        <v>801770.01348230802</v>
      </c>
      <c r="C106">
        <v>22962023.103335802</v>
      </c>
      <c r="D106">
        <v>18535737.566282999</v>
      </c>
      <c r="E106">
        <v>9450127.1546615306</v>
      </c>
      <c r="F106">
        <v>16790620.583933</v>
      </c>
      <c r="G106">
        <v>2934639.4573707399</v>
      </c>
      <c r="H106">
        <v>9847821.1238546595</v>
      </c>
      <c r="J106">
        <f t="shared" si="16"/>
        <v>104</v>
      </c>
      <c r="K106">
        <f t="shared" si="17"/>
        <v>5.3594252238122195E-6</v>
      </c>
      <c r="L106">
        <f t="shared" si="18"/>
        <v>1.5348945924689706E-4</v>
      </c>
      <c r="M106">
        <f t="shared" si="19"/>
        <v>1.2390198907943182E-4</v>
      </c>
      <c r="N106">
        <f t="shared" si="20"/>
        <v>6.3169299162176007E-5</v>
      </c>
      <c r="O106">
        <f t="shared" si="21"/>
        <v>1.1223676860917781E-4</v>
      </c>
      <c r="P106">
        <f t="shared" si="22"/>
        <v>1.9616573912906016E-5</v>
      </c>
      <c r="Q106">
        <f t="shared" si="23"/>
        <v>6.5827681309188894E-5</v>
      </c>
      <c r="V106">
        <f t="shared" si="24"/>
        <v>104</v>
      </c>
      <c r="W106">
        <f t="shared" si="13"/>
        <v>3.9661358978526365E-2</v>
      </c>
      <c r="X106">
        <f t="shared" si="14"/>
        <v>1.7137204575301775E-2</v>
      </c>
      <c r="Y106">
        <f t="shared" si="15"/>
        <v>6.3169299162176007E-3</v>
      </c>
      <c r="Z106">
        <f>100*(P106/$T$5)</f>
        <v>1.2871767659387149E-3</v>
      </c>
      <c r="AA106">
        <f>100*(Q106/$T$6)</f>
        <v>1.2649439144732685E-3</v>
      </c>
    </row>
    <row r="107" spans="1:27" x14ac:dyDescent="0.3">
      <c r="A107">
        <v>2520</v>
      </c>
      <c r="B107">
        <v>817281.44750023098</v>
      </c>
      <c r="C107">
        <v>23507196.2856468</v>
      </c>
      <c r="D107">
        <v>18856987.2544006</v>
      </c>
      <c r="E107">
        <v>9650050.0936213005</v>
      </c>
      <c r="F107">
        <v>16279533.322175801</v>
      </c>
      <c r="G107">
        <v>2991979.0004527001</v>
      </c>
      <c r="H107">
        <v>9997967.6040572003</v>
      </c>
      <c r="J107">
        <f t="shared" si="16"/>
        <v>105</v>
      </c>
      <c r="K107">
        <f t="shared" si="17"/>
        <v>5.4631112800817578E-6</v>
      </c>
      <c r="L107">
        <f t="shared" si="18"/>
        <v>1.5713366501100801E-4</v>
      </c>
      <c r="M107">
        <f t="shared" si="19"/>
        <v>1.2604938004278477E-4</v>
      </c>
      <c r="N107">
        <f t="shared" si="20"/>
        <v>6.4505682443992654E-5</v>
      </c>
      <c r="O107">
        <f t="shared" si="21"/>
        <v>1.0882040990759225E-4</v>
      </c>
      <c r="P107">
        <f t="shared" si="22"/>
        <v>1.9999859628694521E-5</v>
      </c>
      <c r="Q107">
        <f t="shared" si="23"/>
        <v>6.683133425171925E-5</v>
      </c>
      <c r="V107">
        <f t="shared" si="24"/>
        <v>105</v>
      </c>
      <c r="W107">
        <f t="shared" si="13"/>
        <v>4.0603014214730754E-2</v>
      </c>
      <c r="X107">
        <f t="shared" si="14"/>
        <v>1.743421577355253E-2</v>
      </c>
      <c r="Y107">
        <f t="shared" si="15"/>
        <v>6.450568244399265E-3</v>
      </c>
      <c r="Z107">
        <f>100*(P107/$T$5)</f>
        <v>1.3123267472896667E-3</v>
      </c>
      <c r="AA107">
        <f>100*(Q107/$T$6)</f>
        <v>1.2842300970737752E-3</v>
      </c>
    </row>
    <row r="108" spans="1:27" x14ac:dyDescent="0.3">
      <c r="A108">
        <v>2544</v>
      </c>
      <c r="B108">
        <v>832941.83784927102</v>
      </c>
      <c r="C108">
        <v>24062627.2776777</v>
      </c>
      <c r="D108">
        <v>19178063.244736101</v>
      </c>
      <c r="E108">
        <v>9854144.6665156297</v>
      </c>
      <c r="F108">
        <v>15592447.225244099</v>
      </c>
      <c r="G108">
        <v>3049905.3459870098</v>
      </c>
      <c r="H108">
        <v>10176921.4651972</v>
      </c>
      <c r="J108">
        <f t="shared" si="16"/>
        <v>106</v>
      </c>
      <c r="K108">
        <f t="shared" si="17"/>
        <v>5.5677930337518119E-6</v>
      </c>
      <c r="L108">
        <f t="shared" si="18"/>
        <v>1.6084643902190975E-4</v>
      </c>
      <c r="M108">
        <f t="shared" si="19"/>
        <v>1.2819560992470655E-4</v>
      </c>
      <c r="N108">
        <f t="shared" si="20"/>
        <v>6.5869950979382551E-5</v>
      </c>
      <c r="O108">
        <f t="shared" si="21"/>
        <v>1.042275884040381E-4</v>
      </c>
      <c r="P108">
        <f t="shared" si="22"/>
        <v>2.0387067820768783E-5</v>
      </c>
      <c r="Q108">
        <f t="shared" si="23"/>
        <v>6.8027549901050806E-5</v>
      </c>
      <c r="V108">
        <f t="shared" si="24"/>
        <v>106</v>
      </c>
      <c r="W108">
        <f t="shared" si="13"/>
        <v>4.1562387344162725E-2</v>
      </c>
      <c r="X108">
        <f t="shared" si="14"/>
        <v>1.7731066379627465E-2</v>
      </c>
      <c r="Y108">
        <f t="shared" si="15"/>
        <v>6.5869950979382547E-3</v>
      </c>
      <c r="Z108">
        <f>100*(P108/$T$5)</f>
        <v>1.3377341089743295E-3</v>
      </c>
      <c r="AA108">
        <f>100*(Q108/$T$6)</f>
        <v>1.3072165622799925E-3</v>
      </c>
    </row>
    <row r="109" spans="1:27" x14ac:dyDescent="0.3">
      <c r="A109">
        <v>2568</v>
      </c>
      <c r="B109">
        <v>848751.19611807598</v>
      </c>
      <c r="C109">
        <v>24624361.009679299</v>
      </c>
      <c r="D109">
        <v>19498844.998330601</v>
      </c>
      <c r="E109">
        <v>10061496.9343658</v>
      </c>
      <c r="F109">
        <v>14752072.9948988</v>
      </c>
      <c r="G109">
        <v>3108419.8418443901</v>
      </c>
      <c r="H109">
        <v>10282244.393877</v>
      </c>
      <c r="J109">
        <f t="shared" si="16"/>
        <v>107</v>
      </c>
      <c r="K109">
        <f t="shared" si="17"/>
        <v>5.6734705622866043E-6</v>
      </c>
      <c r="L109">
        <f t="shared" si="18"/>
        <v>1.6460134364758891E-4</v>
      </c>
      <c r="M109">
        <f t="shared" si="19"/>
        <v>1.3033987298349331E-4</v>
      </c>
      <c r="N109">
        <f t="shared" si="20"/>
        <v>6.7255995550573531E-5</v>
      </c>
      <c r="O109">
        <f t="shared" si="21"/>
        <v>9.86101136022647E-5</v>
      </c>
      <c r="P109">
        <f t="shared" si="22"/>
        <v>2.0778207498959828E-5</v>
      </c>
      <c r="Q109">
        <f t="shared" si="23"/>
        <v>6.8731580172974593E-5</v>
      </c>
      <c r="V109">
        <f t="shared" si="24"/>
        <v>107</v>
      </c>
      <c r="W109">
        <f t="shared" si="13"/>
        <v>4.2532646937361474E-2</v>
      </c>
      <c r="X109">
        <f t="shared" si="14"/>
        <v>1.8027644949307513E-2</v>
      </c>
      <c r="Y109">
        <f t="shared" si="15"/>
        <v>6.725599555057353E-3</v>
      </c>
      <c r="Z109">
        <f>100*(P109/$T$5)</f>
        <v>1.3633994421889651E-3</v>
      </c>
      <c r="AA109">
        <f>100*(Q109/$T$6)</f>
        <v>1.3207451993269522E-3</v>
      </c>
    </row>
    <row r="110" spans="1:27" x14ac:dyDescent="0.3">
      <c r="A110">
        <v>2592</v>
      </c>
      <c r="B110">
        <v>864709.53444509895</v>
      </c>
      <c r="C110">
        <v>25187877.516421899</v>
      </c>
      <c r="D110">
        <v>19819212.620888598</v>
      </c>
      <c r="E110">
        <v>10271265.9458018</v>
      </c>
      <c r="F110">
        <v>13776534.953336401</v>
      </c>
      <c r="G110">
        <v>3167523.8034030301</v>
      </c>
      <c r="H110">
        <v>10327639.3543425</v>
      </c>
      <c r="J110">
        <f t="shared" si="16"/>
        <v>108</v>
      </c>
      <c r="K110">
        <f t="shared" si="17"/>
        <v>5.7801439468255275E-6</v>
      </c>
      <c r="L110">
        <f t="shared" si="18"/>
        <v>1.6836816521672391E-4</v>
      </c>
      <c r="M110">
        <f t="shared" si="19"/>
        <v>1.324813677866885E-4</v>
      </c>
      <c r="N110">
        <f t="shared" si="20"/>
        <v>6.865819482487835E-5</v>
      </c>
      <c r="O110">
        <f t="shared" si="21"/>
        <v>9.2089137388612306E-5</v>
      </c>
      <c r="P110">
        <f t="shared" si="22"/>
        <v>2.1173287455902609E-5</v>
      </c>
      <c r="Q110">
        <f t="shared" si="23"/>
        <v>6.9035022422075527E-5</v>
      </c>
      <c r="V110">
        <f t="shared" si="24"/>
        <v>108</v>
      </c>
      <c r="W110">
        <f t="shared" si="13"/>
        <v>4.3505985844114706E-2</v>
      </c>
      <c r="X110">
        <f t="shared" si="14"/>
        <v>1.8323840634396748E-2</v>
      </c>
      <c r="Y110">
        <f t="shared" si="15"/>
        <v>6.8658194824878348E-3</v>
      </c>
      <c r="Z110">
        <f>100*(P110/$T$5)</f>
        <v>1.389323323878124E-3</v>
      </c>
      <c r="AA110">
        <f>100*(Q110/$T$6)</f>
        <v>1.3265761418538727E-3</v>
      </c>
    </row>
    <row r="111" spans="1:27" x14ac:dyDescent="0.3">
      <c r="A111">
        <v>2616</v>
      </c>
      <c r="B111">
        <v>880816.86560959299</v>
      </c>
      <c r="C111">
        <v>25748166.8738048</v>
      </c>
      <c r="D111">
        <v>20139046.9791039</v>
      </c>
      <c r="E111">
        <v>10482681.1940511</v>
      </c>
      <c r="F111">
        <v>12680028.502085</v>
      </c>
      <c r="G111">
        <v>3227218.3750131298</v>
      </c>
      <c r="H111">
        <v>10337563.6127661</v>
      </c>
      <c r="J111">
        <f t="shared" si="16"/>
        <v>109</v>
      </c>
      <c r="K111">
        <f t="shared" si="17"/>
        <v>5.8878132727913969E-6</v>
      </c>
      <c r="L111">
        <f t="shared" si="18"/>
        <v>1.7211341493185027E-4</v>
      </c>
      <c r="M111">
        <f t="shared" si="19"/>
        <v>1.3461929798866244E-4</v>
      </c>
      <c r="N111">
        <f t="shared" si="20"/>
        <v>7.0071398355956552E-5</v>
      </c>
      <c r="O111">
        <f t="shared" si="21"/>
        <v>8.4759548810728612E-5</v>
      </c>
      <c r="P111">
        <f t="shared" si="22"/>
        <v>2.1572315340996858E-5</v>
      </c>
      <c r="Q111">
        <f t="shared" si="23"/>
        <v>6.9101361047901741E-5</v>
      </c>
      <c r="V111">
        <f t="shared" si="24"/>
        <v>109</v>
      </c>
      <c r="W111">
        <f t="shared" si="13"/>
        <v>4.4473750628385079E-2</v>
      </c>
      <c r="X111">
        <f t="shared" si="14"/>
        <v>1.8619543290271431E-2</v>
      </c>
      <c r="Y111">
        <f t="shared" si="15"/>
        <v>7.0071398355956551E-3</v>
      </c>
      <c r="Z111">
        <f>100*(P111/$T$5)</f>
        <v>1.4155062559709224E-3</v>
      </c>
      <c r="AA111">
        <f>100*(Q111/$T$6)</f>
        <v>1.3278509040719013E-3</v>
      </c>
    </row>
    <row r="112" spans="1:27" x14ac:dyDescent="0.3">
      <c r="A112">
        <v>2640</v>
      </c>
      <c r="B112">
        <v>897073.20298484003</v>
      </c>
      <c r="C112">
        <v>26299848.968597099</v>
      </c>
      <c r="D112">
        <v>20458229.812840398</v>
      </c>
      <c r="E112">
        <v>10695023.9489378</v>
      </c>
      <c r="F112">
        <v>11474465.762592301</v>
      </c>
      <c r="G112">
        <v>3287504.5995898498</v>
      </c>
      <c r="H112">
        <v>10364295.969247</v>
      </c>
      <c r="J112">
        <f t="shared" si="16"/>
        <v>110</v>
      </c>
      <c r="K112">
        <f t="shared" si="17"/>
        <v>5.9964786295778073E-6</v>
      </c>
      <c r="L112">
        <f t="shared" si="18"/>
        <v>1.7580112946923195E-4</v>
      </c>
      <c r="M112">
        <f t="shared" si="19"/>
        <v>1.3675287308048393E-4</v>
      </c>
      <c r="N112">
        <f t="shared" si="20"/>
        <v>7.1490801797712569E-5</v>
      </c>
      <c r="O112">
        <f t="shared" si="21"/>
        <v>7.6700974348879012E-5</v>
      </c>
      <c r="P112">
        <f t="shared" si="22"/>
        <v>2.1975298125600601E-5</v>
      </c>
      <c r="Q112">
        <f t="shared" si="23"/>
        <v>6.9280053270367651E-5</v>
      </c>
      <c r="V112">
        <f t="shared" si="24"/>
        <v>110</v>
      </c>
      <c r="W112">
        <f t="shared" si="13"/>
        <v>4.5426648441661999E-2</v>
      </c>
      <c r="X112">
        <f t="shared" si="14"/>
        <v>1.8914643579596675E-2</v>
      </c>
      <c r="Y112">
        <f t="shared" si="15"/>
        <v>7.1490801797712573E-3</v>
      </c>
      <c r="Z112">
        <f>100*(P112/$T$5)</f>
        <v>1.4419486959055513E-3</v>
      </c>
      <c r="AA112">
        <f>100*(Q112/$T$6)</f>
        <v>1.3312846516212078E-3</v>
      </c>
    </row>
    <row r="113" spans="1:27" x14ac:dyDescent="0.3">
      <c r="A113">
        <v>2664</v>
      </c>
      <c r="B113">
        <v>913478.560189193</v>
      </c>
      <c r="C113">
        <v>26837337.6797578</v>
      </c>
      <c r="D113">
        <v>20776643.8467177</v>
      </c>
      <c r="E113">
        <v>10907606.622369099</v>
      </c>
      <c r="F113">
        <v>10172099.6602023</v>
      </c>
      <c r="G113">
        <v>3348383.5968935802</v>
      </c>
      <c r="H113">
        <v>10527123.428777499</v>
      </c>
      <c r="J113">
        <f t="shared" si="16"/>
        <v>111</v>
      </c>
      <c r="K113">
        <f t="shared" si="17"/>
        <v>6.1061401082165305E-6</v>
      </c>
      <c r="L113">
        <f t="shared" si="18"/>
        <v>1.7939396844757888E-4</v>
      </c>
      <c r="M113">
        <f t="shared" si="19"/>
        <v>1.3888130913581351E-4</v>
      </c>
      <c r="N113">
        <f t="shared" si="20"/>
        <v>7.2911808973055475E-5</v>
      </c>
      <c r="O113">
        <f t="shared" si="21"/>
        <v>6.7995318584239978E-5</v>
      </c>
      <c r="P113">
        <f t="shared" si="22"/>
        <v>2.2382243294743184E-5</v>
      </c>
      <c r="Q113">
        <f t="shared" si="23"/>
        <v>7.0368472117496655E-5</v>
      </c>
      <c r="V113">
        <f t="shared" si="24"/>
        <v>111</v>
      </c>
      <c r="W113">
        <f t="shared" si="13"/>
        <v>4.6355030606609532E-2</v>
      </c>
      <c r="X113">
        <f t="shared" si="14"/>
        <v>1.9209033075492876E-2</v>
      </c>
      <c r="Y113">
        <f t="shared" si="15"/>
        <v>7.2911808973055471E-3</v>
      </c>
      <c r="Z113">
        <f>100*(P113/$T$5)</f>
        <v>1.4686511348256683E-3</v>
      </c>
      <c r="AA113">
        <f>100*(Q113/$T$6)</f>
        <v>1.3521996948020112E-3</v>
      </c>
    </row>
    <row r="114" spans="1:27" x14ac:dyDescent="0.3">
      <c r="A114">
        <v>2688</v>
      </c>
      <c r="B114">
        <v>930032.950855945</v>
      </c>
      <c r="C114">
        <v>27355043.030599698</v>
      </c>
      <c r="D114">
        <v>21094172.902352799</v>
      </c>
      <c r="E114">
        <v>11119758.8445947</v>
      </c>
      <c r="F114">
        <v>8789785.0781794805</v>
      </c>
      <c r="G114">
        <v>3409856.5850187801</v>
      </c>
      <c r="H114">
        <v>10601992.545966201</v>
      </c>
      <c r="J114">
        <f t="shared" si="16"/>
        <v>112</v>
      </c>
      <c r="K114">
        <f t="shared" si="17"/>
        <v>6.2167977998392043E-6</v>
      </c>
      <c r="L114">
        <f t="shared" si="18"/>
        <v>1.8285456571256483E-4</v>
      </c>
      <c r="M114">
        <f t="shared" si="19"/>
        <v>1.410038295611818E-4</v>
      </c>
      <c r="N114">
        <f t="shared" si="20"/>
        <v>7.4329938800766712E-5</v>
      </c>
      <c r="O114">
        <f t="shared" si="21"/>
        <v>5.8755247848793317E-5</v>
      </c>
      <c r="P114">
        <f t="shared" si="22"/>
        <v>2.2793158990767248E-5</v>
      </c>
      <c r="Q114">
        <f t="shared" si="23"/>
        <v>7.0868934130790108E-5</v>
      </c>
      <c r="V114">
        <f t="shared" si="24"/>
        <v>112</v>
      </c>
      <c r="W114">
        <f t="shared" si="13"/>
        <v>4.7249241786192463E-2</v>
      </c>
      <c r="X114">
        <f t="shared" si="14"/>
        <v>1.9502604365308686E-2</v>
      </c>
      <c r="Y114">
        <f t="shared" si="15"/>
        <v>7.432993880076671E-3</v>
      </c>
      <c r="Z114">
        <f>100*(P114/$T$5)</f>
        <v>1.495614107005725E-3</v>
      </c>
      <c r="AA114">
        <f>100*(Q114/$T$6)</f>
        <v>1.36181656669466E-3</v>
      </c>
    </row>
    <row r="115" spans="1:27" x14ac:dyDescent="0.3">
      <c r="A115">
        <v>2712</v>
      </c>
      <c r="B115">
        <v>946736.38898192497</v>
      </c>
      <c r="C115">
        <v>27847598.196047802</v>
      </c>
      <c r="D115">
        <v>21410702.0043616</v>
      </c>
      <c r="E115">
        <v>11330824.621301699</v>
      </c>
      <c r="F115">
        <v>7357095.02617855</v>
      </c>
      <c r="G115">
        <v>3471924.7827820801</v>
      </c>
      <c r="H115">
        <v>10721042.2134091</v>
      </c>
      <c r="J115">
        <f t="shared" si="16"/>
        <v>113</v>
      </c>
      <c r="K115">
        <f t="shared" si="17"/>
        <v>6.3284517980075203E-6</v>
      </c>
      <c r="L115">
        <f t="shared" si="18"/>
        <v>1.8614704676502542E-4</v>
      </c>
      <c r="M115">
        <f t="shared" si="19"/>
        <v>1.4311966580455614E-4</v>
      </c>
      <c r="N115">
        <f t="shared" si="20"/>
        <v>7.574080629212366E-5</v>
      </c>
      <c r="O115">
        <f t="shared" si="21"/>
        <v>4.9178442688359293E-5</v>
      </c>
      <c r="P115">
        <f t="shared" si="22"/>
        <v>2.3208053360842782E-5</v>
      </c>
      <c r="Q115">
        <f t="shared" si="23"/>
        <v>7.1664720677868318E-5</v>
      </c>
      <c r="V115">
        <f t="shared" si="24"/>
        <v>113</v>
      </c>
      <c r="W115">
        <f t="shared" si="13"/>
        <v>4.8100012083985899E-2</v>
      </c>
      <c r="X115">
        <f t="shared" si="14"/>
        <v>1.979525114862464E-2</v>
      </c>
      <c r="Y115">
        <f t="shared" si="15"/>
        <v>7.5740806292123658E-3</v>
      </c>
      <c r="Z115">
        <f>100*(P115/$T$5)</f>
        <v>1.5228381470369279E-3</v>
      </c>
      <c r="AA115">
        <f>100*(Q115/$T$6)</f>
        <v>1.3771083911965473E-3</v>
      </c>
    </row>
    <row r="116" spans="1:27" x14ac:dyDescent="0.3">
      <c r="A116">
        <v>2736</v>
      </c>
      <c r="B116">
        <v>963588.88738236995</v>
      </c>
      <c r="C116">
        <v>28310092.436150201</v>
      </c>
      <c r="D116">
        <v>21726117.490394801</v>
      </c>
      <c r="E116">
        <v>11540171.6876537</v>
      </c>
      <c r="F116">
        <v>5934926.8010956896</v>
      </c>
      <c r="G116">
        <v>3534589.3631597999</v>
      </c>
      <c r="H116">
        <v>10769798.709024699</v>
      </c>
      <c r="J116">
        <f t="shared" si="16"/>
        <v>114</v>
      </c>
      <c r="K116">
        <f t="shared" si="17"/>
        <v>6.4411021883848256E-6</v>
      </c>
      <c r="L116">
        <f t="shared" si="18"/>
        <v>1.8923858580314305E-4</v>
      </c>
      <c r="M116">
        <f t="shared" si="19"/>
        <v>1.4522805809087433E-4</v>
      </c>
      <c r="N116">
        <f t="shared" si="20"/>
        <v>7.7140185077899062E-5</v>
      </c>
      <c r="O116">
        <f t="shared" si="21"/>
        <v>3.9671970595559423E-5</v>
      </c>
      <c r="P116">
        <f t="shared" si="22"/>
        <v>2.3626934245720587E-5</v>
      </c>
      <c r="Q116">
        <f t="shared" si="23"/>
        <v>7.199063308171591E-5</v>
      </c>
      <c r="V116">
        <f t="shared" si="24"/>
        <v>114</v>
      </c>
      <c r="W116">
        <f t="shared" si="13"/>
        <v>4.889885938065712E-2</v>
      </c>
      <c r="X116">
        <f t="shared" si="14"/>
        <v>2.008686833898677E-2</v>
      </c>
      <c r="Y116">
        <f t="shared" si="15"/>
        <v>7.714018507789906E-3</v>
      </c>
      <c r="Z116">
        <f>100*(P116/$T$5)</f>
        <v>1.550323769404238E-3</v>
      </c>
      <c r="AA116">
        <f>100*(Q116/$T$6)</f>
        <v>1.3833711199407362E-3</v>
      </c>
    </row>
    <row r="117" spans="1:27" x14ac:dyDescent="0.3">
      <c r="A117">
        <v>2760</v>
      </c>
      <c r="B117">
        <v>980590.45895803301</v>
      </c>
      <c r="C117">
        <v>28738287.566723101</v>
      </c>
      <c r="D117">
        <v>22040307.1155449</v>
      </c>
      <c r="E117">
        <v>11747211.4119938</v>
      </c>
      <c r="F117">
        <v>4663127.9023149796</v>
      </c>
      <c r="G117">
        <v>3597851.5314486101</v>
      </c>
      <c r="H117">
        <v>10804158.5192094</v>
      </c>
      <c r="J117">
        <f t="shared" si="16"/>
        <v>115</v>
      </c>
      <c r="K117">
        <f t="shared" si="17"/>
        <v>6.5547490572061031E-6</v>
      </c>
      <c r="L117">
        <f t="shared" si="18"/>
        <v>1.9210085271873732E-4</v>
      </c>
      <c r="M117">
        <f t="shared" si="19"/>
        <v>1.4732825611995254E-4</v>
      </c>
      <c r="N117">
        <f t="shared" si="20"/>
        <v>7.8524140454504007E-5</v>
      </c>
      <c r="O117">
        <f t="shared" si="21"/>
        <v>3.1170641058255214E-5</v>
      </c>
      <c r="P117">
        <f t="shared" si="22"/>
        <v>2.4049809702196591E-5</v>
      </c>
      <c r="Q117">
        <f t="shared" si="23"/>
        <v>7.2220310957282083E-5</v>
      </c>
      <c r="V117">
        <f t="shared" si="24"/>
        <v>115</v>
      </c>
      <c r="W117">
        <f t="shared" si="13"/>
        <v>4.9638463234815841E-2</v>
      </c>
      <c r="X117">
        <f t="shared" si="14"/>
        <v>2.0377352160436037E-2</v>
      </c>
      <c r="Y117">
        <f t="shared" si="15"/>
        <v>7.8524140454504007E-3</v>
      </c>
      <c r="Z117">
        <f>100*(P117/$T$5)</f>
        <v>1.578071502768805E-3</v>
      </c>
      <c r="AA117">
        <f>100*(Q117/$T$6)</f>
        <v>1.387784607172984E-3</v>
      </c>
    </row>
    <row r="118" spans="1:27" x14ac:dyDescent="0.3">
      <c r="A118">
        <v>2784</v>
      </c>
      <c r="B118">
        <v>997741.11541584402</v>
      </c>
      <c r="C118">
        <v>29128795.688092101</v>
      </c>
      <c r="D118">
        <v>22353160.156054001</v>
      </c>
      <c r="E118">
        <v>11951425.5151996</v>
      </c>
      <c r="F118">
        <v>3859567.5698614102</v>
      </c>
      <c r="G118">
        <v>3661712.5664702598</v>
      </c>
      <c r="H118">
        <v>10798793.804641301</v>
      </c>
      <c r="J118">
        <f t="shared" si="16"/>
        <v>116</v>
      </c>
      <c r="K118">
        <f t="shared" si="17"/>
        <v>6.6693924827262305E-6</v>
      </c>
      <c r="L118">
        <f t="shared" si="18"/>
        <v>1.9471120112361031E-4</v>
      </c>
      <c r="M118">
        <f t="shared" si="19"/>
        <v>1.4941951975971926E-4</v>
      </c>
      <c r="N118">
        <f t="shared" si="20"/>
        <v>7.9889207989302139E-5</v>
      </c>
      <c r="O118">
        <f t="shared" si="21"/>
        <v>2.5799248461640444E-5</v>
      </c>
      <c r="P118">
        <f t="shared" si="22"/>
        <v>2.4476688278544518E-5</v>
      </c>
      <c r="Q118">
        <f t="shared" si="23"/>
        <v>7.218445056578409E-5</v>
      </c>
      <c r="V118">
        <f t="shared" si="24"/>
        <v>116</v>
      </c>
      <c r="W118">
        <f t="shared" si="13"/>
        <v>5.031297186656597E-2</v>
      </c>
      <c r="X118">
        <f t="shared" si="14"/>
        <v>2.0666600243391321E-2</v>
      </c>
      <c r="Y118">
        <f t="shared" si="15"/>
        <v>7.9889207989302137E-3</v>
      </c>
      <c r="Z118">
        <f>100*(P118/$T$5)</f>
        <v>1.6060819080409789E-3</v>
      </c>
      <c r="AA118">
        <f>100*(Q118/$T$6)</f>
        <v>1.3870955143309778E-3</v>
      </c>
    </row>
    <row r="119" spans="1:27" x14ac:dyDescent="0.3">
      <c r="A119">
        <v>2808</v>
      </c>
      <c r="B119">
        <v>1015040.86708748</v>
      </c>
      <c r="C119">
        <v>29479200.034561299</v>
      </c>
      <c r="D119">
        <v>22664567.514040001</v>
      </c>
      <c r="E119">
        <v>12152394.905797601</v>
      </c>
      <c r="F119">
        <v>3980443.01458085</v>
      </c>
      <c r="G119">
        <v>3726173.7277948698</v>
      </c>
      <c r="H119">
        <v>10846654.2552351</v>
      </c>
      <c r="J119">
        <f t="shared" si="16"/>
        <v>117</v>
      </c>
      <c r="K119">
        <f t="shared" si="17"/>
        <v>6.7850325340072192E-6</v>
      </c>
      <c r="L119">
        <f t="shared" si="18"/>
        <v>1.970534761668536E-4</v>
      </c>
      <c r="M119">
        <f t="shared" si="19"/>
        <v>1.5150111974625668E-4</v>
      </c>
      <c r="N119">
        <f t="shared" si="20"/>
        <v>8.1232586268700535E-5</v>
      </c>
      <c r="O119">
        <f t="shared" si="21"/>
        <v>2.6607239402278408E-5</v>
      </c>
      <c r="P119">
        <f t="shared" si="22"/>
        <v>2.4907578394350736E-5</v>
      </c>
      <c r="Q119">
        <f t="shared" si="23"/>
        <v>7.2504373363870984E-5</v>
      </c>
      <c r="V119">
        <f t="shared" si="24"/>
        <v>117</v>
      </c>
      <c r="W119">
        <f t="shared" si="13"/>
        <v>5.0918210895827799E-2</v>
      </c>
      <c r="X119">
        <f t="shared" si="14"/>
        <v>2.0954511721473956E-2</v>
      </c>
      <c r="Y119">
        <f t="shared" si="15"/>
        <v>8.1232586268700537E-3</v>
      </c>
      <c r="Z119">
        <f>100*(P119/$T$5)</f>
        <v>1.634355537687056E-3</v>
      </c>
      <c r="AA119">
        <f>100*(Q119/$T$6)</f>
        <v>1.3932431468845308E-3</v>
      </c>
    </row>
    <row r="120" spans="1:27" x14ac:dyDescent="0.3">
      <c r="A120">
        <v>2832</v>
      </c>
      <c r="B120">
        <v>1032489.72326856</v>
      </c>
      <c r="C120">
        <v>29788108.328957099</v>
      </c>
      <c r="D120">
        <v>22974421.812300399</v>
      </c>
      <c r="E120">
        <v>12349826.673679899</v>
      </c>
      <c r="F120">
        <v>5064712.4815234896</v>
      </c>
      <c r="G120">
        <v>3791236.1350721898</v>
      </c>
      <c r="H120">
        <v>11050106.460092099</v>
      </c>
      <c r="J120">
        <f t="shared" si="16"/>
        <v>118</v>
      </c>
      <c r="K120">
        <f t="shared" si="17"/>
        <v>6.9016692731855614E-6</v>
      </c>
      <c r="L120">
        <f t="shared" si="18"/>
        <v>1.9911837118286832E-4</v>
      </c>
      <c r="M120">
        <f t="shared" si="19"/>
        <v>1.5357233831751602E-4</v>
      </c>
      <c r="N120">
        <f t="shared" si="20"/>
        <v>8.2552317337432487E-5</v>
      </c>
      <c r="O120">
        <f t="shared" si="21"/>
        <v>3.3855029956707816E-5</v>
      </c>
      <c r="P120">
        <f t="shared" si="22"/>
        <v>2.5342487533905014E-5</v>
      </c>
      <c r="Q120">
        <f t="shared" si="23"/>
        <v>7.3864347995268042E-5</v>
      </c>
      <c r="V120">
        <f t="shared" si="24"/>
        <v>118</v>
      </c>
      <c r="W120">
        <f t="shared" si="13"/>
        <v>5.1451775499449175E-2</v>
      </c>
      <c r="X120">
        <f t="shared" si="14"/>
        <v>2.1240987319158511E-2</v>
      </c>
      <c r="Y120">
        <f t="shared" si="15"/>
        <v>8.2552317337432485E-3</v>
      </c>
      <c r="Z120">
        <f>100*(P120/$T$5)</f>
        <v>1.662892882802166E-3</v>
      </c>
      <c r="AA120">
        <f>100*(Q120/$T$6)</f>
        <v>1.4193764026761732E-3</v>
      </c>
    </row>
    <row r="121" spans="1:27" x14ac:dyDescent="0.3">
      <c r="A121">
        <v>2856</v>
      </c>
      <c r="B121">
        <v>1050087.69213982</v>
      </c>
      <c r="C121">
        <v>30055137.159390699</v>
      </c>
      <c r="D121">
        <v>23282617.499092098</v>
      </c>
      <c r="E121">
        <v>12543577.7605474</v>
      </c>
      <c r="F121">
        <v>6723227.3862471497</v>
      </c>
      <c r="G121">
        <v>3856900.8143875902</v>
      </c>
      <c r="H121">
        <v>11197692.457311399</v>
      </c>
      <c r="J121">
        <f t="shared" si="16"/>
        <v>119</v>
      </c>
      <c r="K121">
        <f t="shared" si="17"/>
        <v>7.0193027549453204E-6</v>
      </c>
      <c r="L121">
        <f t="shared" si="18"/>
        <v>2.0090332325795922E-4</v>
      </c>
      <c r="M121">
        <f t="shared" si="19"/>
        <v>1.5563246991371724E-4</v>
      </c>
      <c r="N121">
        <f t="shared" si="20"/>
        <v>8.3847444923445185E-5</v>
      </c>
      <c r="O121">
        <f t="shared" si="21"/>
        <v>4.494135953373763E-5</v>
      </c>
      <c r="P121">
        <f t="shared" si="22"/>
        <v>2.578142255606678E-5</v>
      </c>
      <c r="Q121">
        <f t="shared" si="23"/>
        <v>7.4850885409835554E-5</v>
      </c>
      <c r="V121">
        <f t="shared" si="24"/>
        <v>119</v>
      </c>
      <c r="W121">
        <f t="shared" si="13"/>
        <v>5.1913003425829253E-2</v>
      </c>
      <c r="X121">
        <f t="shared" si="14"/>
        <v>2.1525929448646921E-2</v>
      </c>
      <c r="Y121">
        <f t="shared" si="15"/>
        <v>8.3847444923445189E-3</v>
      </c>
      <c r="Z121">
        <f>100*(P121/$T$5)</f>
        <v>1.6916943934427019E-3</v>
      </c>
      <c r="AA121">
        <f>100*(Q121/$T$6)</f>
        <v>1.4383336935018362E-3</v>
      </c>
    </row>
    <row r="122" spans="1:27" x14ac:dyDescent="0.3">
      <c r="A122">
        <v>2880</v>
      </c>
      <c r="B122">
        <v>1067834.78053849</v>
      </c>
      <c r="C122">
        <v>30280834.890589699</v>
      </c>
      <c r="D122">
        <v>23589050.9398265</v>
      </c>
      <c r="E122">
        <v>12733677.2241394</v>
      </c>
      <c r="F122">
        <v>8666087.5952925403</v>
      </c>
      <c r="G122">
        <v>3923168.8727358999</v>
      </c>
      <c r="H122">
        <v>11400333.210810499</v>
      </c>
      <c r="J122">
        <f t="shared" si="16"/>
        <v>120</v>
      </c>
      <c r="K122">
        <f t="shared" si="17"/>
        <v>7.1379330249899065E-6</v>
      </c>
      <c r="L122">
        <f t="shared" si="18"/>
        <v>2.0241199793174933E-4</v>
      </c>
      <c r="M122">
        <f t="shared" si="19"/>
        <v>1.5768082179028409E-4</v>
      </c>
      <c r="N122">
        <f t="shared" si="20"/>
        <v>8.5118163262963906E-5</v>
      </c>
      <c r="O122">
        <f t="shared" si="21"/>
        <v>5.7928393016661369E-5</v>
      </c>
      <c r="P122">
        <f t="shared" si="22"/>
        <v>2.6224390860534088E-5</v>
      </c>
      <c r="Q122">
        <f t="shared" si="23"/>
        <v>7.6205435901139707E-5</v>
      </c>
      <c r="V122">
        <f t="shared" si="24"/>
        <v>120</v>
      </c>
      <c r="W122">
        <f t="shared" si="13"/>
        <v>5.2302841842829281E-2</v>
      </c>
      <c r="X122">
        <f t="shared" si="14"/>
        <v>2.1809242294645103E-2</v>
      </c>
      <c r="Y122">
        <f t="shared" si="15"/>
        <v>8.5118163262963911E-3</v>
      </c>
      <c r="Z122">
        <f>100*(P122/$T$5)</f>
        <v>1.7207605551531552E-3</v>
      </c>
      <c r="AA122">
        <f>100*(Q122/$T$6)</f>
        <v>1.4643627190841604E-3</v>
      </c>
    </row>
    <row r="123" spans="1:27" x14ac:dyDescent="0.3">
      <c r="A123">
        <v>2904</v>
      </c>
      <c r="B123">
        <v>1085730.9939697599</v>
      </c>
      <c r="C123">
        <v>30466557.286761198</v>
      </c>
      <c r="D123">
        <v>23893620.510784298</v>
      </c>
      <c r="E123">
        <v>12920351.729240101</v>
      </c>
      <c r="F123">
        <v>10749433.580013599</v>
      </c>
      <c r="G123">
        <v>3990041.60038079</v>
      </c>
      <c r="H123">
        <v>11522144.8220281</v>
      </c>
      <c r="J123">
        <f t="shared" si="16"/>
        <v>121</v>
      </c>
      <c r="K123">
        <f t="shared" si="17"/>
        <v>7.2575601201187158E-6</v>
      </c>
      <c r="L123">
        <f t="shared" si="18"/>
        <v>2.0365345779920586E-4</v>
      </c>
      <c r="M123">
        <f t="shared" si="19"/>
        <v>1.5971671464428007E-4</v>
      </c>
      <c r="N123">
        <f t="shared" si="20"/>
        <v>8.6365987494920461E-5</v>
      </c>
      <c r="O123">
        <f t="shared" si="21"/>
        <v>7.1854502540197857E-5</v>
      </c>
      <c r="P123">
        <f t="shared" si="22"/>
        <v>2.6671401072064102E-5</v>
      </c>
      <c r="Q123">
        <f t="shared" si="23"/>
        <v>7.7019684639225265E-5</v>
      </c>
      <c r="V123">
        <f t="shared" si="24"/>
        <v>121</v>
      </c>
      <c r="W123">
        <f t="shared" si="13"/>
        <v>5.2623632506254743E-2</v>
      </c>
      <c r="X123">
        <f t="shared" si="14"/>
        <v>2.2090831901006927E-2</v>
      </c>
      <c r="Y123">
        <f t="shared" si="15"/>
        <v>8.6365987494920454E-3</v>
      </c>
      <c r="Z123">
        <f>100*(P123/$T$5)</f>
        <v>1.750091933862474E-3</v>
      </c>
      <c r="AA123">
        <f>100*(Q123/$T$6)</f>
        <v>1.4800093128213925E-3</v>
      </c>
    </row>
    <row r="124" spans="1:27" x14ac:dyDescent="0.3">
      <c r="A124">
        <v>2928</v>
      </c>
      <c r="B124">
        <v>1103776.3369748399</v>
      </c>
      <c r="C124">
        <v>30614313.606656399</v>
      </c>
      <c r="D124">
        <v>24196226.695652399</v>
      </c>
      <c r="E124">
        <v>13104058.927343899</v>
      </c>
      <c r="F124">
        <v>12891134.7607064</v>
      </c>
      <c r="G124">
        <v>4057520.3578073098</v>
      </c>
      <c r="H124">
        <v>11635778.1362425</v>
      </c>
      <c r="J124">
        <f t="shared" si="16"/>
        <v>122</v>
      </c>
      <c r="K124">
        <f t="shared" si="17"/>
        <v>7.3781840706874324E-6</v>
      </c>
      <c r="L124">
        <f t="shared" si="18"/>
        <v>2.0464113373433422E-4</v>
      </c>
      <c r="M124">
        <f t="shared" si="19"/>
        <v>1.6173948325970855E-4</v>
      </c>
      <c r="N124">
        <f t="shared" si="20"/>
        <v>8.7593976787058152E-5</v>
      </c>
      <c r="O124">
        <f t="shared" si="21"/>
        <v>8.6170686903117648E-5</v>
      </c>
      <c r="P124">
        <f t="shared" si="22"/>
        <v>2.7122462284808221E-5</v>
      </c>
      <c r="Q124">
        <f t="shared" si="23"/>
        <v>7.7779265616594246E-5</v>
      </c>
      <c r="V124">
        <f t="shared" si="24"/>
        <v>122</v>
      </c>
      <c r="W124">
        <f t="shared" si="13"/>
        <v>5.2878845926184553E-2</v>
      </c>
      <c r="X124">
        <f t="shared" si="14"/>
        <v>2.2370606259987352E-2</v>
      </c>
      <c r="Y124">
        <f t="shared" si="15"/>
        <v>8.7593976787058159E-3</v>
      </c>
      <c r="Z124">
        <f>100*(P124/$T$5)</f>
        <v>1.779689126299752E-3</v>
      </c>
      <c r="AA124">
        <f>100*(Q124/$T$6)</f>
        <v>1.4946054115410118E-3</v>
      </c>
    </row>
    <row r="125" spans="1:27" x14ac:dyDescent="0.3">
      <c r="A125">
        <v>2952</v>
      </c>
      <c r="B125">
        <v>1121970.81356267</v>
      </c>
      <c r="C125">
        <v>30726601.133632202</v>
      </c>
      <c r="D125">
        <v>24496772.167996999</v>
      </c>
      <c r="E125">
        <v>13285528.8000449</v>
      </c>
      <c r="F125">
        <v>15028593.0738362</v>
      </c>
      <c r="G125">
        <v>4125606.3902148502</v>
      </c>
      <c r="H125">
        <v>11660147.278665001</v>
      </c>
      <c r="J125">
        <f t="shared" si="16"/>
        <v>123</v>
      </c>
      <c r="K125">
        <f t="shared" si="17"/>
        <v>7.4998049034937832E-6</v>
      </c>
      <c r="L125">
        <f t="shared" si="18"/>
        <v>2.0539171880770189E-4</v>
      </c>
      <c r="M125">
        <f t="shared" si="19"/>
        <v>1.6374847705880348E-4</v>
      </c>
      <c r="N125">
        <f t="shared" si="20"/>
        <v>8.8807010695487294E-5</v>
      </c>
      <c r="O125">
        <f t="shared" si="21"/>
        <v>1.0045850985184625E-4</v>
      </c>
      <c r="P125">
        <f t="shared" si="22"/>
        <v>2.7577582822291778E-5</v>
      </c>
      <c r="Q125">
        <f t="shared" si="23"/>
        <v>7.7942160953643053E-5</v>
      </c>
      <c r="V125">
        <f t="shared" si="24"/>
        <v>123</v>
      </c>
      <c r="W125">
        <f t="shared" si="13"/>
        <v>5.3072795557545703E-2</v>
      </c>
      <c r="X125">
        <f t="shared" si="14"/>
        <v>2.2648475388492875E-2</v>
      </c>
      <c r="Y125">
        <f t="shared" si="15"/>
        <v>8.8807010695487291E-3</v>
      </c>
      <c r="Z125">
        <f>100*(P125/$T$5)</f>
        <v>1.8095526786280692E-3</v>
      </c>
      <c r="AA125">
        <f>100*(Q125/$T$6)</f>
        <v>1.497735606334417E-3</v>
      </c>
    </row>
    <row r="126" spans="1:27" x14ac:dyDescent="0.3">
      <c r="A126">
        <v>2976</v>
      </c>
      <c r="B126">
        <v>1140314.42734876</v>
      </c>
      <c r="C126">
        <v>30806243.667786699</v>
      </c>
      <c r="D126">
        <v>24795161.884369601</v>
      </c>
      <c r="E126">
        <v>13465802.7873911</v>
      </c>
      <c r="F126">
        <v>17102080.609099999</v>
      </c>
      <c r="G126">
        <v>4194300.7986971699</v>
      </c>
      <c r="H126">
        <v>11717266.691956099</v>
      </c>
      <c r="J126">
        <f t="shared" si="16"/>
        <v>124</v>
      </c>
      <c r="K126">
        <f t="shared" si="17"/>
        <v>7.6224226427056147E-6</v>
      </c>
      <c r="L126">
        <f t="shared" si="18"/>
        <v>2.0592408868841375E-4</v>
      </c>
      <c r="M126">
        <f t="shared" si="19"/>
        <v>1.6574306072439572E-4</v>
      </c>
      <c r="N126">
        <f t="shared" si="20"/>
        <v>9.0012050717854942E-5</v>
      </c>
      <c r="O126">
        <f t="shared" si="21"/>
        <v>1.1431872064906417E-4</v>
      </c>
      <c r="P126">
        <f t="shared" si="22"/>
        <v>2.8036770044767179E-5</v>
      </c>
      <c r="Q126">
        <f t="shared" si="23"/>
        <v>7.8323975213610294E-5</v>
      </c>
      <c r="V126">
        <f t="shared" si="24"/>
        <v>124</v>
      </c>
      <c r="W126">
        <f t="shared" si="13"/>
        <v>5.3210358834215446E-2</v>
      </c>
      <c r="X126">
        <f t="shared" si="14"/>
        <v>2.2924351414162616E-2</v>
      </c>
      <c r="Y126">
        <f t="shared" si="15"/>
        <v>9.0012050717854942E-3</v>
      </c>
      <c r="Z126">
        <f>100*(P126/$T$5)</f>
        <v>1.8396830738036207E-3</v>
      </c>
      <c r="AA126">
        <f>100*(Q126/$T$6)</f>
        <v>1.5050725444583071E-3</v>
      </c>
    </row>
    <row r="127" spans="1:27" x14ac:dyDescent="0.3">
      <c r="A127">
        <v>3000</v>
      </c>
      <c r="B127">
        <v>1158807.1814419399</v>
      </c>
      <c r="C127">
        <v>30856245.507151801</v>
      </c>
      <c r="D127">
        <v>25091303.164850999</v>
      </c>
      <c r="E127">
        <v>13646245.988497499</v>
      </c>
      <c r="F127">
        <v>19048914.2256491</v>
      </c>
      <c r="G127">
        <v>4263604.67723451</v>
      </c>
      <c r="H127">
        <v>11888072.7151288</v>
      </c>
      <c r="J127">
        <f t="shared" si="16"/>
        <v>125</v>
      </c>
      <c r="K127">
        <f t="shared" si="17"/>
        <v>7.7460373091038756E-6</v>
      </c>
      <c r="L127">
        <f t="shared" si="18"/>
        <v>2.0625832558256551E-4</v>
      </c>
      <c r="M127">
        <f t="shared" si="19"/>
        <v>1.6772261473830882E-4</v>
      </c>
      <c r="N127">
        <f t="shared" si="20"/>
        <v>9.121822184824532E-5</v>
      </c>
      <c r="O127">
        <f t="shared" si="21"/>
        <v>1.2733231434257421E-4</v>
      </c>
      <c r="P127">
        <f t="shared" si="22"/>
        <v>2.8500031264936564E-5</v>
      </c>
      <c r="Q127">
        <f t="shared" si="23"/>
        <v>7.9465726705406421E-5</v>
      </c>
      <c r="V127">
        <f t="shared" si="24"/>
        <v>125</v>
      </c>
      <c r="W127">
        <f t="shared" si="13"/>
        <v>5.3296724956735278E-2</v>
      </c>
      <c r="X127">
        <f t="shared" si="14"/>
        <v>2.3198148649835246E-2</v>
      </c>
      <c r="Y127">
        <f t="shared" si="15"/>
        <v>9.1218221848245323E-3</v>
      </c>
      <c r="Z127">
        <f>100*(P127/$T$5)</f>
        <v>1.8700807916625043E-3</v>
      </c>
      <c r="AA127">
        <f>100*(Q127/$T$6)</f>
        <v>1.5270124270831366E-3</v>
      </c>
    </row>
    <row r="128" spans="1:27" x14ac:dyDescent="0.3">
      <c r="A128">
        <v>3024</v>
      </c>
      <c r="B128">
        <v>1177449.0784919399</v>
      </c>
      <c r="C128">
        <v>30879667.986384701</v>
      </c>
      <c r="D128">
        <v>25385105.7773293</v>
      </c>
      <c r="E128">
        <v>13828496.066419199</v>
      </c>
      <c r="F128">
        <v>20803666.373652902</v>
      </c>
      <c r="G128">
        <v>4333519.2081790203</v>
      </c>
      <c r="H128">
        <v>11997861.2341779</v>
      </c>
      <c r="J128">
        <f t="shared" si="16"/>
        <v>126</v>
      </c>
      <c r="K128">
        <f t="shared" si="17"/>
        <v>7.8706489204006678E-6</v>
      </c>
      <c r="L128">
        <f t="shared" si="18"/>
        <v>2.0641489295711697E-4</v>
      </c>
      <c r="M128">
        <f t="shared" si="19"/>
        <v>1.6968653594471458E-4</v>
      </c>
      <c r="N128">
        <f t="shared" si="20"/>
        <v>9.2436471032213892E-5</v>
      </c>
      <c r="O128">
        <f t="shared" si="21"/>
        <v>1.3906194100035362E-4</v>
      </c>
      <c r="P128">
        <f t="shared" si="22"/>
        <v>2.8967374386223397E-5</v>
      </c>
      <c r="Q128">
        <f t="shared" si="23"/>
        <v>8.0199607180333555E-5</v>
      </c>
      <c r="V128">
        <f t="shared" si="24"/>
        <v>126</v>
      </c>
      <c r="W128">
        <f t="shared" si="13"/>
        <v>5.3337181642665883E-2</v>
      </c>
      <c r="X128">
        <f t="shared" si="14"/>
        <v>2.3469783671468132E-2</v>
      </c>
      <c r="Y128">
        <f t="shared" si="15"/>
        <v>9.2436471032213887E-3</v>
      </c>
      <c r="Z128">
        <f>100*(P128/$T$5)</f>
        <v>1.9007463508020604E-3</v>
      </c>
      <c r="AA128">
        <f>100*(Q128/$T$6)</f>
        <v>1.541114665263904E-3</v>
      </c>
    </row>
    <row r="129" spans="1:27" x14ac:dyDescent="0.3">
      <c r="A129">
        <v>3048</v>
      </c>
      <c r="B129">
        <v>1196240.12133041</v>
      </c>
      <c r="C129">
        <v>30879531.5898568</v>
      </c>
      <c r="D129">
        <v>25676482.017156299</v>
      </c>
      <c r="E129">
        <v>14014317.233273</v>
      </c>
      <c r="F129">
        <v>22302835.424858</v>
      </c>
      <c r="G129">
        <v>4404045.59860997</v>
      </c>
      <c r="H129">
        <v>12141510.2848465</v>
      </c>
      <c r="J129">
        <f t="shared" si="16"/>
        <v>127</v>
      </c>
      <c r="K129">
        <f t="shared" si="17"/>
        <v>7.9962574955241309E-6</v>
      </c>
      <c r="L129">
        <f t="shared" si="18"/>
        <v>2.0641398121562033E-4</v>
      </c>
      <c r="M129">
        <f t="shared" si="19"/>
        <v>1.7163423808259559E-4</v>
      </c>
      <c r="N129">
        <f t="shared" si="20"/>
        <v>9.367859113150401E-5</v>
      </c>
      <c r="O129">
        <f t="shared" si="21"/>
        <v>1.4908312449771389E-4</v>
      </c>
      <c r="P129">
        <f t="shared" si="22"/>
        <v>2.9438807477339372E-5</v>
      </c>
      <c r="Q129">
        <f t="shared" si="23"/>
        <v>8.1159828107262694E-5</v>
      </c>
      <c r="V129">
        <f t="shared" si="24"/>
        <v>127</v>
      </c>
      <c r="W129">
        <f t="shared" si="13"/>
        <v>5.3336946050547895E-2</v>
      </c>
      <c r="X129">
        <f t="shared" si="14"/>
        <v>2.3739175391783624E-2</v>
      </c>
      <c r="Y129">
        <f t="shared" si="15"/>
        <v>9.3678591131504015E-3</v>
      </c>
      <c r="Z129">
        <f>100*(P129/$T$5)</f>
        <v>1.9316802806653131E-3</v>
      </c>
      <c r="AA129">
        <f>100*(Q129/$T$6)</f>
        <v>1.5595662587867543E-3</v>
      </c>
    </row>
    <row r="130" spans="1:27" x14ac:dyDescent="0.3">
      <c r="A130">
        <v>3072</v>
      </c>
      <c r="B130">
        <v>1215180.31324987</v>
      </c>
      <c r="C130">
        <v>30858743.4665865</v>
      </c>
      <c r="D130">
        <v>25965346.781948</v>
      </c>
      <c r="E130">
        <v>14205361.613997599</v>
      </c>
      <c r="F130">
        <v>23492415.1602653</v>
      </c>
      <c r="G130">
        <v>4475185.00411266</v>
      </c>
      <c r="H130">
        <v>12189433.369235599</v>
      </c>
      <c r="J130">
        <f t="shared" si="16"/>
        <v>128</v>
      </c>
      <c r="K130">
        <f t="shared" si="17"/>
        <v>8.1228630564830879E-6</v>
      </c>
      <c r="L130">
        <f t="shared" si="18"/>
        <v>2.0627502317236966E-4</v>
      </c>
      <c r="M130">
        <f t="shared" si="19"/>
        <v>1.7356515228574866E-4</v>
      </c>
      <c r="N130">
        <f t="shared" si="20"/>
        <v>9.4955625762016031E-5</v>
      </c>
      <c r="O130">
        <f t="shared" si="21"/>
        <v>1.5703486069696058E-4</v>
      </c>
      <c r="P130">
        <f t="shared" si="22"/>
        <v>2.9914338262785162E-5</v>
      </c>
      <c r="Q130">
        <f t="shared" si="23"/>
        <v>8.1480169580451866E-5</v>
      </c>
      <c r="V130">
        <f t="shared" si="24"/>
        <v>128</v>
      </c>
      <c r="W130">
        <f t="shared" ref="W130:W193" si="25">(L130/$T$2)*100</f>
        <v>5.3301039579423677E-2</v>
      </c>
      <c r="X130">
        <f t="shared" ref="X130:X193" si="26">100*(M130/$T$3)</f>
        <v>2.400624512942582E-2</v>
      </c>
      <c r="Y130">
        <f t="shared" ref="Y130:Y193" si="27">100*(N130/$T$4)</f>
        <v>9.4955625762016029E-3</v>
      </c>
      <c r="Z130">
        <f>100*(P130/$T$5)</f>
        <v>1.9628830881092624E-3</v>
      </c>
      <c r="AA130">
        <f>100*(Q130/$T$6)</f>
        <v>1.5657219365959238E-3</v>
      </c>
    </row>
    <row r="131" spans="1:27" x14ac:dyDescent="0.3">
      <c r="A131">
        <v>3096</v>
      </c>
      <c r="B131">
        <v>1234269.65687174</v>
      </c>
      <c r="C131">
        <v>30820048.049089301</v>
      </c>
      <c r="D131">
        <v>26251617.646701999</v>
      </c>
      <c r="E131">
        <v>14402896.187675601</v>
      </c>
      <c r="F131">
        <v>24335710.585869201</v>
      </c>
      <c r="G131">
        <v>4546938.5877899304</v>
      </c>
      <c r="H131">
        <v>12246550.1045013</v>
      </c>
      <c r="J131">
        <f t="shared" ref="J131:J194" si="28">A131/24</f>
        <v>129</v>
      </c>
      <c r="K131">
        <f t="shared" ref="K131:K194" si="29">B131/149600000000</f>
        <v>8.2504656208004007E-6</v>
      </c>
      <c r="L131">
        <f t="shared" ref="L131:L194" si="30">C131/149600000000</f>
        <v>2.0601636396450068E-4</v>
      </c>
      <c r="M131">
        <f t="shared" ref="M131:M194" si="31">D131/149600000000</f>
        <v>1.754787275849064E-4</v>
      </c>
      <c r="N131">
        <f t="shared" ref="N131:N194" si="32">E131/149600000000</f>
        <v>9.6276044035264717E-5</v>
      </c>
      <c r="O131">
        <f t="shared" ref="O131:O194" si="33">F131/149600000000</f>
        <v>1.6267186220500802E-4</v>
      </c>
      <c r="P131">
        <f t="shared" ref="P131:P194" si="34">G131/149600000000</f>
        <v>3.0393974517312368E-5</v>
      </c>
      <c r="Q131">
        <f t="shared" ref="Q131:Q194" si="35">H131/149600000000</f>
        <v>8.1861965939179806E-5</v>
      </c>
      <c r="V131">
        <f t="shared" ref="V131:V194" si="36">J131</f>
        <v>129</v>
      </c>
      <c r="W131">
        <f t="shared" si="25"/>
        <v>5.323420257480637E-2</v>
      </c>
      <c r="X131">
        <f t="shared" si="26"/>
        <v>2.427091667841029E-2</v>
      </c>
      <c r="Y131">
        <f t="shared" si="27"/>
        <v>9.6276044035264723E-3</v>
      </c>
      <c r="Z131">
        <f>100*(P131/$T$5)</f>
        <v>1.9943552832882134E-3</v>
      </c>
      <c r="AA131">
        <f>100*(Q131/$T$6)</f>
        <v>1.5730585307298197E-3</v>
      </c>
    </row>
    <row r="132" spans="1:27" x14ac:dyDescent="0.3">
      <c r="A132">
        <v>3120</v>
      </c>
      <c r="B132">
        <v>1253508.1556096701</v>
      </c>
      <c r="C132">
        <v>30765997.302260801</v>
      </c>
      <c r="D132">
        <v>26535214.9390628</v>
      </c>
      <c r="E132">
        <v>14607594.1241751</v>
      </c>
      <c r="F132">
        <v>24818216.825285699</v>
      </c>
      <c r="G132">
        <v>4619307.61291481</v>
      </c>
      <c r="H132">
        <v>12195185.5599596</v>
      </c>
      <c r="J132">
        <f t="shared" si="28"/>
        <v>130</v>
      </c>
      <c r="K132">
        <f t="shared" si="29"/>
        <v>8.3790652112945863E-6</v>
      </c>
      <c r="L132">
        <f t="shared" si="30"/>
        <v>2.056550621808877E-4</v>
      </c>
      <c r="M132">
        <f t="shared" si="31"/>
        <v>1.7737443141084758E-4</v>
      </c>
      <c r="N132">
        <f t="shared" si="32"/>
        <v>9.7644345749833551E-5</v>
      </c>
      <c r="O132">
        <f t="shared" si="33"/>
        <v>1.658971712920167E-4</v>
      </c>
      <c r="P132">
        <f t="shared" si="34"/>
        <v>3.0877724685259422E-5</v>
      </c>
      <c r="Q132">
        <f t="shared" si="35"/>
        <v>8.1518620053205884E-5</v>
      </c>
      <c r="V132">
        <f t="shared" si="36"/>
        <v>130</v>
      </c>
      <c r="W132">
        <f t="shared" si="25"/>
        <v>5.314084294079785E-2</v>
      </c>
      <c r="X132">
        <f t="shared" si="26"/>
        <v>2.4533116377710593E-2</v>
      </c>
      <c r="Y132">
        <f t="shared" si="27"/>
        <v>9.764434574983355E-3</v>
      </c>
      <c r="Z132">
        <f>100*(P132/$T$5)</f>
        <v>2.0260974202926129E-3</v>
      </c>
      <c r="AA132">
        <f>100*(Q132/$T$6)</f>
        <v>1.566460800407492E-3</v>
      </c>
    </row>
    <row r="133" spans="1:27" x14ac:dyDescent="0.3">
      <c r="A133">
        <v>3144</v>
      </c>
      <c r="B133">
        <v>1272895.8129374301</v>
      </c>
      <c r="C133">
        <v>30698936.709636901</v>
      </c>
      <c r="D133">
        <v>26816061.8032833</v>
      </c>
      <c r="E133">
        <v>14819472.8687889</v>
      </c>
      <c r="F133">
        <v>24947487.852365602</v>
      </c>
      <c r="G133">
        <v>4692293.3888161303</v>
      </c>
      <c r="H133">
        <v>12202085.3058488</v>
      </c>
      <c r="J133">
        <f t="shared" si="28"/>
        <v>131</v>
      </c>
      <c r="K133">
        <f t="shared" si="29"/>
        <v>8.5086618511860298E-6</v>
      </c>
      <c r="L133">
        <f t="shared" si="30"/>
        <v>2.0520679618741243E-4</v>
      </c>
      <c r="M133">
        <f t="shared" si="31"/>
        <v>1.792517500219472E-4</v>
      </c>
      <c r="N133">
        <f t="shared" si="32"/>
        <v>9.9060647518642373E-5</v>
      </c>
      <c r="O133">
        <f t="shared" si="33"/>
        <v>1.6676128243559894E-4</v>
      </c>
      <c r="P133">
        <f t="shared" si="34"/>
        <v>3.1365597518824399E-5</v>
      </c>
      <c r="Q133">
        <f t="shared" si="35"/>
        <v>8.1564741349256676E-5</v>
      </c>
      <c r="V133">
        <f t="shared" si="36"/>
        <v>131</v>
      </c>
      <c r="W133">
        <f t="shared" si="25"/>
        <v>5.3025011934731893E-2</v>
      </c>
      <c r="X133">
        <f t="shared" si="26"/>
        <v>2.4792773170393804E-2</v>
      </c>
      <c r="Y133">
        <f t="shared" si="27"/>
        <v>9.9060647518642367E-3</v>
      </c>
      <c r="Z133">
        <f>100*(P133/$T$5)</f>
        <v>2.0581100734136746E-3</v>
      </c>
      <c r="AA133">
        <f>100*(Q133/$T$6)</f>
        <v>1.5673470666651937E-3</v>
      </c>
    </row>
    <row r="134" spans="1:27" x14ac:dyDescent="0.3">
      <c r="A134">
        <v>3168</v>
      </c>
      <c r="B134">
        <v>1292432.63255435</v>
      </c>
      <c r="C134">
        <v>30621003.215180699</v>
      </c>
      <c r="D134">
        <v>27094084.267495502</v>
      </c>
      <c r="E134">
        <v>15037990.1319931</v>
      </c>
      <c r="F134">
        <v>24748264.909900401</v>
      </c>
      <c r="G134">
        <v>4765897.1104995199</v>
      </c>
      <c r="H134">
        <v>12331994.568085499</v>
      </c>
      <c r="J134">
        <f t="shared" si="28"/>
        <v>132</v>
      </c>
      <c r="K134">
        <f t="shared" si="29"/>
        <v>8.6392555652028738E-6</v>
      </c>
      <c r="L134">
        <f t="shared" si="30"/>
        <v>2.0468585036885495E-4</v>
      </c>
      <c r="M134">
        <f t="shared" si="31"/>
        <v>1.8111018895384693E-4</v>
      </c>
      <c r="N134">
        <f t="shared" si="32"/>
        <v>1.0052132441171858E-4</v>
      </c>
      <c r="O134">
        <f t="shared" si="33"/>
        <v>1.6542957827473531E-4</v>
      </c>
      <c r="P134">
        <f t="shared" si="34"/>
        <v>3.185760100601283E-5</v>
      </c>
      <c r="Q134">
        <f t="shared" si="35"/>
        <v>8.2433118770624996E-5</v>
      </c>
      <c r="V134">
        <f t="shared" si="36"/>
        <v>132</v>
      </c>
      <c r="W134">
        <f t="shared" si="25"/>
        <v>5.2890400612107216E-2</v>
      </c>
      <c r="X134">
        <f t="shared" si="26"/>
        <v>2.5049818665815619E-2</v>
      </c>
      <c r="Y134">
        <f t="shared" si="27"/>
        <v>1.0052132441171858E-2</v>
      </c>
      <c r="Z134">
        <f>100*(P134/$T$5)</f>
        <v>2.090393766798742E-3</v>
      </c>
      <c r="AA134">
        <f>100*(Q134/$T$6)</f>
        <v>1.5840337965147002E-3</v>
      </c>
    </row>
    <row r="135" spans="1:27" x14ac:dyDescent="0.3">
      <c r="A135">
        <v>3192</v>
      </c>
      <c r="B135">
        <v>1312118.61839206</v>
      </c>
      <c r="C135">
        <v>30534131.749402799</v>
      </c>
      <c r="D135">
        <v>27369211.308938399</v>
      </c>
      <c r="E135">
        <v>15262236.240131199</v>
      </c>
      <c r="F135">
        <v>24255114.605424501</v>
      </c>
      <c r="G135">
        <v>4840119.8149409601</v>
      </c>
      <c r="H135">
        <v>12456164.730017999</v>
      </c>
      <c r="J135">
        <f t="shared" si="28"/>
        <v>133</v>
      </c>
      <c r="K135">
        <f t="shared" si="29"/>
        <v>8.7708463796260706E-6</v>
      </c>
      <c r="L135">
        <f t="shared" si="30"/>
        <v>2.0410515875269249E-4</v>
      </c>
      <c r="M135">
        <f t="shared" si="31"/>
        <v>1.8294927345547057E-4</v>
      </c>
      <c r="N135">
        <f t="shared" si="32"/>
        <v>1.0202029572280214E-4</v>
      </c>
      <c r="O135">
        <f t="shared" si="33"/>
        <v>1.6213311902021725E-4</v>
      </c>
      <c r="P135">
        <f t="shared" si="34"/>
        <v>3.2353742078482356E-5</v>
      </c>
      <c r="Q135">
        <f t="shared" si="35"/>
        <v>8.3263133222045448E-5</v>
      </c>
      <c r="V135">
        <f t="shared" si="36"/>
        <v>133</v>
      </c>
      <c r="W135">
        <f t="shared" si="25"/>
        <v>5.2740351098886945E-2</v>
      </c>
      <c r="X135">
        <f t="shared" si="26"/>
        <v>2.5304187199926772E-2</v>
      </c>
      <c r="Y135">
        <f t="shared" si="27"/>
        <v>1.0202029572280214E-2</v>
      </c>
      <c r="Z135">
        <f>100*(P135/$T$5)</f>
        <v>2.1229489552809944E-3</v>
      </c>
      <c r="AA135">
        <f>100*(Q135/$T$6)</f>
        <v>1.5999833440054853E-3</v>
      </c>
    </row>
    <row r="136" spans="1:27" x14ac:dyDescent="0.3">
      <c r="A136">
        <v>3216</v>
      </c>
      <c r="B136">
        <v>1331953.7745981601</v>
      </c>
      <c r="C136">
        <v>30440067.523743398</v>
      </c>
      <c r="D136">
        <v>27641374.9136055</v>
      </c>
      <c r="E136">
        <v>15491136.8797618</v>
      </c>
      <c r="F136">
        <v>23505258.5980247</v>
      </c>
      <c r="G136">
        <v>4914962.5270371698</v>
      </c>
      <c r="H136">
        <v>12636214.9925566</v>
      </c>
      <c r="J136">
        <f t="shared" si="28"/>
        <v>134</v>
      </c>
      <c r="K136">
        <f t="shared" si="29"/>
        <v>8.9034343221802147E-6</v>
      </c>
      <c r="L136">
        <f t="shared" si="30"/>
        <v>2.0347638719079813E-4</v>
      </c>
      <c r="M136">
        <f t="shared" si="31"/>
        <v>1.8476854888773729E-4</v>
      </c>
      <c r="N136">
        <f t="shared" si="32"/>
        <v>1.035503802123115E-4</v>
      </c>
      <c r="O136">
        <f t="shared" si="33"/>
        <v>1.5712071255364105E-4</v>
      </c>
      <c r="P136">
        <f t="shared" si="34"/>
        <v>3.2854027587146855E-5</v>
      </c>
      <c r="Q136">
        <f t="shared" si="35"/>
        <v>8.4466677757731286E-5</v>
      </c>
      <c r="V136">
        <f t="shared" si="36"/>
        <v>134</v>
      </c>
      <c r="W136">
        <f t="shared" si="25"/>
        <v>5.2577877827079622E-2</v>
      </c>
      <c r="X136">
        <f t="shared" si="26"/>
        <v>2.5555815890420098E-2</v>
      </c>
      <c r="Y136">
        <f t="shared" si="27"/>
        <v>1.0355038021231149E-2</v>
      </c>
      <c r="Z136">
        <f>100*(P136/$T$5)</f>
        <v>2.1557760883954627E-3</v>
      </c>
      <c r="AA136">
        <f>100*(Q136/$T$6)</f>
        <v>1.6231106410017542E-3</v>
      </c>
    </row>
    <row r="137" spans="1:27" x14ac:dyDescent="0.3">
      <c r="A137">
        <v>3240</v>
      </c>
      <c r="B137">
        <v>1351938.1055351</v>
      </c>
      <c r="C137">
        <v>30340381.860043999</v>
      </c>
      <c r="D137">
        <v>27910510.133176401</v>
      </c>
      <c r="E137">
        <v>15723605.3351555</v>
      </c>
      <c r="F137">
        <v>22533370.8811283</v>
      </c>
      <c r="G137">
        <v>4990426.4256774597</v>
      </c>
      <c r="H137">
        <v>12744790.9583373</v>
      </c>
      <c r="J137">
        <f t="shared" si="28"/>
        <v>135</v>
      </c>
      <c r="K137">
        <f t="shared" si="29"/>
        <v>9.0370194220260687E-6</v>
      </c>
      <c r="L137">
        <f t="shared" si="30"/>
        <v>2.028100391714171E-4</v>
      </c>
      <c r="M137">
        <f t="shared" si="31"/>
        <v>1.8656758110412034E-4</v>
      </c>
      <c r="N137">
        <f t="shared" si="32"/>
        <v>1.0510431373767046E-4</v>
      </c>
      <c r="O137">
        <f t="shared" si="33"/>
        <v>1.5062413690593784E-4</v>
      </c>
      <c r="P137">
        <f t="shared" si="34"/>
        <v>3.3358465412282486E-5</v>
      </c>
      <c r="Q137">
        <f t="shared" si="35"/>
        <v>8.5192452930062156E-5</v>
      </c>
      <c r="V137">
        <f t="shared" si="36"/>
        <v>135</v>
      </c>
      <c r="W137">
        <f t="shared" si="25"/>
        <v>5.2405694876335167E-2</v>
      </c>
      <c r="X137">
        <f t="shared" si="26"/>
        <v>2.5804644689366572E-2</v>
      </c>
      <c r="Y137">
        <f t="shared" si="27"/>
        <v>1.0510431373767046E-2</v>
      </c>
      <c r="Z137">
        <f>100*(P137/$T$5)</f>
        <v>2.1888756832206357E-3</v>
      </c>
      <c r="AA137">
        <f>100*(Q137/$T$6)</f>
        <v>1.6370571277875127E-3</v>
      </c>
    </row>
    <row r="138" spans="1:27" x14ac:dyDescent="0.3">
      <c r="A138">
        <v>3264</v>
      </c>
      <c r="B138">
        <v>1372071.61574795</v>
      </c>
      <c r="C138">
        <v>30236489.8611531</v>
      </c>
      <c r="D138">
        <v>28176555.139341298</v>
      </c>
      <c r="E138">
        <v>15958624.7002503</v>
      </c>
      <c r="F138">
        <v>21368884.945328102</v>
      </c>
      <c r="G138">
        <v>5066512.8329990804</v>
      </c>
      <c r="H138">
        <v>12889740.0359207</v>
      </c>
      <c r="J138">
        <f t="shared" si="28"/>
        <v>136</v>
      </c>
      <c r="K138">
        <f t="shared" si="29"/>
        <v>9.1716017095451205E-6</v>
      </c>
      <c r="L138">
        <f t="shared" si="30"/>
        <v>2.0211557393818918E-4</v>
      </c>
      <c r="M138">
        <f t="shared" si="31"/>
        <v>1.8834595681377873E-4</v>
      </c>
      <c r="N138">
        <f t="shared" si="32"/>
        <v>1.0667529879846457E-4</v>
      </c>
      <c r="O138">
        <f t="shared" si="33"/>
        <v>1.4284014000887768E-4</v>
      </c>
      <c r="P138">
        <f t="shared" si="34"/>
        <v>3.3867064391705082E-5</v>
      </c>
      <c r="Q138">
        <f t="shared" si="35"/>
        <v>8.6161363876475274E-5</v>
      </c>
      <c r="V138">
        <f t="shared" si="36"/>
        <v>136</v>
      </c>
      <c r="W138">
        <f t="shared" si="25"/>
        <v>5.2226246495656124E-2</v>
      </c>
      <c r="X138">
        <f t="shared" si="26"/>
        <v>2.6050616433441042E-2</v>
      </c>
      <c r="Y138">
        <f t="shared" si="27"/>
        <v>1.0667529879846458E-2</v>
      </c>
      <c r="Z138">
        <f>100*(P138/$T$5)</f>
        <v>2.222248319665688E-3</v>
      </c>
      <c r="AA138">
        <f>100*(Q138/$T$6)</f>
        <v>1.6556757086178954E-3</v>
      </c>
    </row>
    <row r="139" spans="1:27" x14ac:dyDescent="0.3">
      <c r="A139">
        <v>3288</v>
      </c>
      <c r="B139">
        <v>1392354.3099459601</v>
      </c>
      <c r="C139">
        <v>30129668.695220198</v>
      </c>
      <c r="D139">
        <v>28439451.276875202</v>
      </c>
      <c r="E139">
        <v>16195270.2014709</v>
      </c>
      <c r="F139">
        <v>20035551.572338</v>
      </c>
      <c r="G139">
        <v>5143223.0399314603</v>
      </c>
      <c r="H139">
        <v>12910840.3043667</v>
      </c>
      <c r="J139">
        <f t="shared" si="28"/>
        <v>137</v>
      </c>
      <c r="K139">
        <f t="shared" si="29"/>
        <v>9.3071812162163111E-6</v>
      </c>
      <c r="L139">
        <f t="shared" si="30"/>
        <v>2.0140152871136495E-4</v>
      </c>
      <c r="M139">
        <f t="shared" si="31"/>
        <v>1.9010328393633157E-4</v>
      </c>
      <c r="N139">
        <f t="shared" si="32"/>
        <v>1.0825715375314772E-4</v>
      </c>
      <c r="O139">
        <f t="shared" si="33"/>
        <v>1.3392748377231284E-4</v>
      </c>
      <c r="P139">
        <f t="shared" si="34"/>
        <v>3.4379833154622059E-5</v>
      </c>
      <c r="Q139">
        <f t="shared" si="35"/>
        <v>8.6302408451649064E-5</v>
      </c>
      <c r="V139">
        <f t="shared" si="36"/>
        <v>137</v>
      </c>
      <c r="W139">
        <f t="shared" si="25"/>
        <v>5.2041738685107225E-2</v>
      </c>
      <c r="X139">
        <f t="shared" si="26"/>
        <v>2.6293676892991922E-2</v>
      </c>
      <c r="Y139">
        <f t="shared" si="27"/>
        <v>1.0825715375314772E-2</v>
      </c>
      <c r="Z139">
        <f>100*(P139/$T$5)</f>
        <v>2.2558945639515786E-3</v>
      </c>
      <c r="AA139">
        <f>100*(Q139/$T$6)</f>
        <v>1.658386019439836E-3</v>
      </c>
    </row>
    <row r="140" spans="1:27" x14ac:dyDescent="0.3">
      <c r="A140">
        <v>3312</v>
      </c>
      <c r="B140">
        <v>1412786.1929876099</v>
      </c>
      <c r="C140">
        <v>30021075.643709298</v>
      </c>
      <c r="D140">
        <v>28699143.111875601</v>
      </c>
      <c r="E140">
        <v>16432692.9246097</v>
      </c>
      <c r="F140">
        <v>18552781.316180199</v>
      </c>
      <c r="G140">
        <v>5220558.2051438596</v>
      </c>
      <c r="H140">
        <v>12988963.0009009</v>
      </c>
      <c r="J140">
        <f t="shared" si="28"/>
        <v>138</v>
      </c>
      <c r="K140">
        <f t="shared" si="29"/>
        <v>9.4437579745161085E-6</v>
      </c>
      <c r="L140">
        <f t="shared" si="30"/>
        <v>2.006756393296076E-4</v>
      </c>
      <c r="M140">
        <f t="shared" si="31"/>
        <v>1.9183919192430215E-4</v>
      </c>
      <c r="N140">
        <f t="shared" si="32"/>
        <v>1.0984420404150869E-4</v>
      </c>
      <c r="O140">
        <f t="shared" si="33"/>
        <v>1.2401591788890507E-4</v>
      </c>
      <c r="P140">
        <f t="shared" si="34"/>
        <v>3.4896779446148791E-5</v>
      </c>
      <c r="Q140">
        <f t="shared" si="35"/>
        <v>8.6824618989979276E-5</v>
      </c>
      <c r="V140">
        <f t="shared" si="36"/>
        <v>138</v>
      </c>
      <c r="W140">
        <f t="shared" si="25"/>
        <v>5.1854170369407648E-2</v>
      </c>
      <c r="X140">
        <f t="shared" si="26"/>
        <v>2.6533774816639301E-2</v>
      </c>
      <c r="Y140">
        <f t="shared" si="27"/>
        <v>1.0984420404150869E-2</v>
      </c>
      <c r="Z140">
        <f>100*(P140/$T$5)</f>
        <v>2.2898149242879784E-3</v>
      </c>
      <c r="AA140">
        <f>100*(Q140/$T$6)</f>
        <v>1.668420810722123E-3</v>
      </c>
    </row>
    <row r="141" spans="1:27" x14ac:dyDescent="0.3">
      <c r="A141">
        <v>3336</v>
      </c>
      <c r="B141">
        <v>1433367.2698663201</v>
      </c>
      <c r="C141">
        <v>29911765.361934599</v>
      </c>
      <c r="D141">
        <v>28955578.477240499</v>
      </c>
      <c r="E141">
        <v>16670085.423178099</v>
      </c>
      <c r="F141">
        <v>16938532.8518553</v>
      </c>
      <c r="G141">
        <v>5298519.42144976</v>
      </c>
      <c r="H141">
        <v>13154196.5664421</v>
      </c>
      <c r="J141">
        <f t="shared" si="28"/>
        <v>139</v>
      </c>
      <c r="K141">
        <f t="shared" si="29"/>
        <v>9.5813320178229946E-6</v>
      </c>
      <c r="L141">
        <f t="shared" si="30"/>
        <v>1.9994495562790506E-4</v>
      </c>
      <c r="M141">
        <f t="shared" si="31"/>
        <v>1.9355333206711565E-4</v>
      </c>
      <c r="N141">
        <f t="shared" si="32"/>
        <v>1.1143105229397125E-4</v>
      </c>
      <c r="O141">
        <f t="shared" si="33"/>
        <v>1.1322548697764238E-4</v>
      </c>
      <c r="P141">
        <f t="shared" si="34"/>
        <v>3.5417910571188237E-5</v>
      </c>
      <c r="Q141">
        <f t="shared" si="35"/>
        <v>8.7929121433436499E-5</v>
      </c>
      <c r="V141">
        <f t="shared" si="36"/>
        <v>139</v>
      </c>
      <c r="W141">
        <f t="shared" si="25"/>
        <v>5.1665363211344975E-2</v>
      </c>
      <c r="X141">
        <f t="shared" si="26"/>
        <v>2.677086197332167E-2</v>
      </c>
      <c r="Y141">
        <f t="shared" si="27"/>
        <v>1.1143105229397125E-2</v>
      </c>
      <c r="Z141">
        <f>100*(P141/$T$5)</f>
        <v>2.3240098799992281E-3</v>
      </c>
      <c r="AA141">
        <f>100*(Q141/$T$6)</f>
        <v>1.6896449160921695E-3</v>
      </c>
    </row>
    <row r="142" spans="1:27" x14ac:dyDescent="0.3">
      <c r="A142">
        <v>3360</v>
      </c>
      <c r="B142">
        <v>1454097.54569414</v>
      </c>
      <c r="C142">
        <v>29802706.0176939</v>
      </c>
      <c r="D142">
        <v>29208708.5162252</v>
      </c>
      <c r="E142">
        <v>16906644.759677399</v>
      </c>
      <c r="F142">
        <v>15214034.3131538</v>
      </c>
      <c r="G142">
        <v>5377107.8310550302</v>
      </c>
      <c r="H142">
        <v>13316904.667202599</v>
      </c>
      <c r="J142">
        <f t="shared" si="28"/>
        <v>140</v>
      </c>
      <c r="K142">
        <f t="shared" si="29"/>
        <v>9.7199033803084232E-6</v>
      </c>
      <c r="L142">
        <f t="shared" si="30"/>
        <v>1.9921594931613569E-4</v>
      </c>
      <c r="M142">
        <f t="shared" si="31"/>
        <v>1.95245377782254E-4</v>
      </c>
      <c r="N142">
        <f t="shared" si="32"/>
        <v>1.1301233128126603E-4</v>
      </c>
      <c r="O142">
        <f t="shared" si="33"/>
        <v>1.0169809032856818E-4</v>
      </c>
      <c r="P142">
        <f t="shared" si="34"/>
        <v>3.5943234164806352E-5</v>
      </c>
      <c r="Q142">
        <f t="shared" si="35"/>
        <v>8.9016742427824869E-5</v>
      </c>
      <c r="V142">
        <f t="shared" si="36"/>
        <v>140</v>
      </c>
      <c r="W142">
        <f t="shared" si="25"/>
        <v>5.1476989487373566E-2</v>
      </c>
      <c r="X142">
        <f t="shared" si="26"/>
        <v>2.700489319256625E-2</v>
      </c>
      <c r="Y142">
        <f t="shared" si="27"/>
        <v>1.1301233128126604E-2</v>
      </c>
      <c r="Z142">
        <f>100*(P142/$T$5)</f>
        <v>2.3584799320739078E-3</v>
      </c>
      <c r="AA142">
        <f>100*(Q142/$T$6)</f>
        <v>1.7105446277445211E-3</v>
      </c>
    </row>
    <row r="143" spans="1:27" x14ac:dyDescent="0.3">
      <c r="A143">
        <v>3384</v>
      </c>
      <c r="B143">
        <v>1474977.02567088</v>
      </c>
      <c r="C143">
        <v>29694794.1404116</v>
      </c>
      <c r="D143">
        <v>29458487.720582001</v>
      </c>
      <c r="E143">
        <v>17141544.060545702</v>
      </c>
      <c r="F143">
        <v>13411545.223885899</v>
      </c>
      <c r="G143">
        <v>5456324.6148536401</v>
      </c>
      <c r="H143">
        <v>13497967.566363201</v>
      </c>
      <c r="J143">
        <f t="shared" si="28"/>
        <v>141</v>
      </c>
      <c r="K143">
        <f t="shared" si="29"/>
        <v>9.859472096730481E-6</v>
      </c>
      <c r="L143">
        <f t="shared" si="30"/>
        <v>1.9849461323804545E-4</v>
      </c>
      <c r="M143">
        <f t="shared" si="31"/>
        <v>1.9691502487020055E-4</v>
      </c>
      <c r="N143">
        <f t="shared" si="32"/>
        <v>1.1458251377370122E-4</v>
      </c>
      <c r="O143">
        <f t="shared" si="33"/>
        <v>8.9649366469825536E-5</v>
      </c>
      <c r="P143">
        <f t="shared" si="34"/>
        <v>3.6472758120679412E-5</v>
      </c>
      <c r="Q143">
        <f t="shared" si="35"/>
        <v>9.0227055924887702E-5</v>
      </c>
      <c r="V143">
        <f t="shared" si="36"/>
        <v>141</v>
      </c>
      <c r="W143">
        <f t="shared" si="25"/>
        <v>5.1290597735929054E-2</v>
      </c>
      <c r="X143">
        <f t="shared" si="26"/>
        <v>2.7235826399751112E-2</v>
      </c>
      <c r="Y143">
        <f t="shared" si="27"/>
        <v>1.1458251377370122E-2</v>
      </c>
      <c r="Z143">
        <f>100*(P143/$T$5)</f>
        <v>2.3932255984697778E-3</v>
      </c>
      <c r="AA143">
        <f>100*(Q143/$T$6)</f>
        <v>1.7338019970193639E-3</v>
      </c>
    </row>
    <row r="144" spans="1:27" x14ac:dyDescent="0.3">
      <c r="A144">
        <v>3408</v>
      </c>
      <c r="B144">
        <v>1496005.7150807399</v>
      </c>
      <c r="C144">
        <v>29588868.114796601</v>
      </c>
      <c r="D144">
        <v>29704873.9692619</v>
      </c>
      <c r="E144">
        <v>17373920.571375199</v>
      </c>
      <c r="F144">
        <v>11588125.4914749</v>
      </c>
      <c r="G144">
        <v>5536170.90363291</v>
      </c>
      <c r="H144">
        <v>13586215.0363313</v>
      </c>
      <c r="J144">
        <f t="shared" si="28"/>
        <v>142</v>
      </c>
      <c r="K144">
        <f t="shared" si="29"/>
        <v>1.0000038202411364E-5</v>
      </c>
      <c r="L144">
        <f t="shared" si="30"/>
        <v>1.97786551569496E-4</v>
      </c>
      <c r="M144">
        <f t="shared" si="31"/>
        <v>1.9856199177314103E-4</v>
      </c>
      <c r="N144">
        <f t="shared" si="32"/>
        <v>1.1613583269635828E-4</v>
      </c>
      <c r="O144">
        <f t="shared" si="33"/>
        <v>7.7460731894885701E-5</v>
      </c>
      <c r="P144">
        <f t="shared" si="34"/>
        <v>3.7006489997546191E-5</v>
      </c>
      <c r="Q144">
        <f t="shared" si="35"/>
        <v>9.081694543002205E-5</v>
      </c>
      <c r="V144">
        <f t="shared" si="36"/>
        <v>142</v>
      </c>
      <c r="W144">
        <f t="shared" si="25"/>
        <v>5.1107636064469247E-2</v>
      </c>
      <c r="X144">
        <f t="shared" si="26"/>
        <v>2.7463622651886729E-2</v>
      </c>
      <c r="Y144">
        <f t="shared" si="27"/>
        <v>1.1613583269635828E-2</v>
      </c>
      <c r="Z144">
        <f>100*(P144/$T$5)</f>
        <v>2.4282473751670729E-3</v>
      </c>
      <c r="AA144">
        <f>100*(Q144/$T$6)</f>
        <v>1.7451373064954277E-3</v>
      </c>
    </row>
    <row r="145" spans="1:27" x14ac:dyDescent="0.3">
      <c r="A145">
        <v>3432</v>
      </c>
      <c r="B145">
        <v>1517183.6192836601</v>
      </c>
      <c r="C145">
        <v>29485720.339769699</v>
      </c>
      <c r="D145">
        <v>29947828.559863601</v>
      </c>
      <c r="E145">
        <v>17602885.7704322</v>
      </c>
      <c r="F145">
        <v>9851495.3213925306</v>
      </c>
      <c r="G145">
        <v>5616647.7972792601</v>
      </c>
      <c r="H145">
        <v>13695791.8193506</v>
      </c>
      <c r="J145">
        <f t="shared" si="28"/>
        <v>143</v>
      </c>
      <c r="K145">
        <f t="shared" si="29"/>
        <v>1.0141601733179546E-5</v>
      </c>
      <c r="L145">
        <f t="shared" si="30"/>
        <v>1.9709706109471723E-4</v>
      </c>
      <c r="M145">
        <f t="shared" si="31"/>
        <v>2.0018601978518449E-4</v>
      </c>
      <c r="N145">
        <f t="shared" si="32"/>
        <v>1.1766634873283556E-4</v>
      </c>
      <c r="O145">
        <f t="shared" si="33"/>
        <v>6.585224145315862E-5</v>
      </c>
      <c r="P145">
        <f t="shared" si="34"/>
        <v>3.7544437147588634E-5</v>
      </c>
      <c r="Q145">
        <f t="shared" si="35"/>
        <v>9.1549410557156415E-5</v>
      </c>
      <c r="V145">
        <f t="shared" si="36"/>
        <v>143</v>
      </c>
      <c r="W145">
        <f t="shared" si="25"/>
        <v>5.092947315108972E-2</v>
      </c>
      <c r="X145">
        <f t="shared" si="26"/>
        <v>2.7688246166692188E-2</v>
      </c>
      <c r="Y145">
        <f t="shared" si="27"/>
        <v>1.1766634873283556E-2</v>
      </c>
      <c r="Z145">
        <f>100*(P145/$T$5)</f>
        <v>2.46354574459243E-3</v>
      </c>
      <c r="AA145">
        <f>100*(Q145/$T$6)</f>
        <v>1.7592123473704154E-3</v>
      </c>
    </row>
    <row r="146" spans="1:27" x14ac:dyDescent="0.3">
      <c r="A146">
        <v>3456</v>
      </c>
      <c r="B146">
        <v>1538510.74370422</v>
      </c>
      <c r="C146">
        <v>29386108.109351799</v>
      </c>
      <c r="D146">
        <v>30187316.241903599</v>
      </c>
      <c r="E146">
        <v>17827559.998642199</v>
      </c>
      <c r="F146">
        <v>8404909.1599126495</v>
      </c>
      <c r="G146">
        <v>5697756.4875091501</v>
      </c>
      <c r="H146">
        <v>13647184.4965096</v>
      </c>
      <c r="J146">
        <f t="shared" si="28"/>
        <v>144</v>
      </c>
      <c r="K146">
        <f t="shared" si="29"/>
        <v>1.0284162725295588E-5</v>
      </c>
      <c r="L146">
        <f t="shared" si="30"/>
        <v>1.9643120393951738E-4</v>
      </c>
      <c r="M146">
        <f t="shared" si="31"/>
        <v>2.0178687327475668E-4</v>
      </c>
      <c r="N146">
        <f t="shared" si="32"/>
        <v>1.1916818180910561E-4</v>
      </c>
      <c r="O146">
        <f t="shared" si="33"/>
        <v>5.6182547860378671E-5</v>
      </c>
      <c r="P146">
        <f t="shared" si="34"/>
        <v>3.8086607536825868E-5</v>
      </c>
      <c r="Q146">
        <f t="shared" si="35"/>
        <v>9.122449529752407E-5</v>
      </c>
      <c r="V146">
        <f t="shared" si="36"/>
        <v>144</v>
      </c>
      <c r="W146">
        <f t="shared" si="25"/>
        <v>5.0757417038634976E-2</v>
      </c>
      <c r="X146">
        <f t="shared" si="26"/>
        <v>2.7909664353355006E-2</v>
      </c>
      <c r="Y146">
        <f t="shared" si="27"/>
        <v>1.191681818091056E-2</v>
      </c>
      <c r="Z146">
        <f>100*(P146/$T$5)</f>
        <v>2.4991212294505163E-3</v>
      </c>
      <c r="AA146">
        <f>100*(Q146/$T$6)</f>
        <v>1.7529687797372036E-3</v>
      </c>
    </row>
    <row r="147" spans="1:27" x14ac:dyDescent="0.3">
      <c r="A147">
        <v>3480</v>
      </c>
      <c r="B147">
        <v>1559987.0938077399</v>
      </c>
      <c r="C147">
        <v>29290763.303339601</v>
      </c>
      <c r="D147">
        <v>30423305.2405468</v>
      </c>
      <c r="E147">
        <v>18047129.6036545</v>
      </c>
      <c r="F147">
        <v>7585664.9392093997</v>
      </c>
      <c r="G147">
        <v>5779498.2819857299</v>
      </c>
      <c r="H147">
        <v>13648125.702250499</v>
      </c>
      <c r="J147">
        <f t="shared" si="28"/>
        <v>145</v>
      </c>
      <c r="K147">
        <f t="shared" si="29"/>
        <v>1.0427721215292379E-5</v>
      </c>
      <c r="L147">
        <f t="shared" si="30"/>
        <v>1.9579387234852674E-4</v>
      </c>
      <c r="M147">
        <f t="shared" si="31"/>
        <v>2.0336433984322728E-4</v>
      </c>
      <c r="N147">
        <f t="shared" si="32"/>
        <v>1.2063589307255682E-4</v>
      </c>
      <c r="O147">
        <f t="shared" si="33"/>
        <v>5.0706316438565508E-5</v>
      </c>
      <c r="P147">
        <f t="shared" si="34"/>
        <v>3.8633009906321722E-5</v>
      </c>
      <c r="Q147">
        <f t="shared" si="35"/>
        <v>9.1230786779749321E-5</v>
      </c>
      <c r="V147">
        <f t="shared" si="36"/>
        <v>145</v>
      </c>
      <c r="W147">
        <f t="shared" si="25"/>
        <v>5.0592731873004324E-2</v>
      </c>
      <c r="X147">
        <f t="shared" si="26"/>
        <v>2.8127847834471267E-2</v>
      </c>
      <c r="Y147">
        <f t="shared" si="27"/>
        <v>1.2063589307255682E-2</v>
      </c>
      <c r="Z147">
        <f>100*(P147/$T$5)</f>
        <v>2.5349744033019502E-3</v>
      </c>
      <c r="AA147">
        <f>100*(Q147/$T$6)</f>
        <v>1.75308967678227E-3</v>
      </c>
    </row>
    <row r="148" spans="1:27" x14ac:dyDescent="0.3">
      <c r="A148">
        <v>3504</v>
      </c>
      <c r="B148">
        <v>1581612.6751146701</v>
      </c>
      <c r="C148">
        <v>29200400.985672101</v>
      </c>
      <c r="D148">
        <v>30655767.2857222</v>
      </c>
      <c r="E148">
        <v>18260919.297588799</v>
      </c>
      <c r="F148">
        <v>7750687.16258654</v>
      </c>
      <c r="G148">
        <v>5861874.4479647502</v>
      </c>
      <c r="H148">
        <v>13714948.0467012</v>
      </c>
      <c r="J148">
        <f t="shared" si="28"/>
        <v>146</v>
      </c>
      <c r="K148">
        <f t="shared" si="29"/>
        <v>1.0572277240071324E-5</v>
      </c>
      <c r="L148">
        <f t="shared" si="30"/>
        <v>1.9518984616090978E-4</v>
      </c>
      <c r="M148">
        <f t="shared" si="31"/>
        <v>2.0491823051953343E-4</v>
      </c>
      <c r="N148">
        <f t="shared" si="32"/>
        <v>1.2206496856677004E-4</v>
      </c>
      <c r="O148">
        <f t="shared" si="33"/>
        <v>5.1809406167022329E-5</v>
      </c>
      <c r="P148">
        <f t="shared" si="34"/>
        <v>3.9183652727037101E-5</v>
      </c>
      <c r="Q148">
        <f t="shared" si="35"/>
        <v>9.1677460205221922E-5</v>
      </c>
      <c r="V148">
        <f t="shared" si="36"/>
        <v>146</v>
      </c>
      <c r="W148">
        <f t="shared" si="25"/>
        <v>5.043665275475704E-2</v>
      </c>
      <c r="X148">
        <f t="shared" si="26"/>
        <v>2.8342770472964515E-2</v>
      </c>
      <c r="Y148">
        <f t="shared" si="27"/>
        <v>1.2206496856677004E-2</v>
      </c>
      <c r="Z148">
        <f>100*(P148/$T$5)</f>
        <v>2.5711058219840617E-3</v>
      </c>
      <c r="AA148">
        <f>100*(Q148/$T$6)</f>
        <v>1.7616729478328579E-3</v>
      </c>
    </row>
    <row r="149" spans="1:27" x14ac:dyDescent="0.3">
      <c r="A149">
        <v>3528</v>
      </c>
      <c r="B149">
        <v>1603387.4931803099</v>
      </c>
      <c r="C149">
        <v>29115727.014490999</v>
      </c>
      <c r="D149">
        <v>30884677.628921099</v>
      </c>
      <c r="E149">
        <v>18468468.200445998</v>
      </c>
      <c r="F149">
        <v>8953720.1386294793</v>
      </c>
      <c r="G149">
        <v>5944886.0756694898</v>
      </c>
      <c r="H149">
        <v>13824579.107031099</v>
      </c>
      <c r="J149">
        <f t="shared" si="28"/>
        <v>147</v>
      </c>
      <c r="K149">
        <f t="shared" si="29"/>
        <v>1.0717830836766777E-5</v>
      </c>
      <c r="L149">
        <f t="shared" si="30"/>
        <v>1.9462384367975266E-4</v>
      </c>
      <c r="M149">
        <f t="shared" si="31"/>
        <v>2.0644837987246725E-4</v>
      </c>
      <c r="N149">
        <f t="shared" si="32"/>
        <v>1.2345232754308822E-4</v>
      </c>
      <c r="O149">
        <f t="shared" si="33"/>
        <v>5.985107044538422E-5</v>
      </c>
      <c r="P149">
        <f t="shared" si="34"/>
        <v>3.9738543286560763E-5</v>
      </c>
      <c r="Q149">
        <f t="shared" si="35"/>
        <v>9.2410288148603602E-5</v>
      </c>
      <c r="V149">
        <f t="shared" si="36"/>
        <v>147</v>
      </c>
      <c r="W149">
        <f t="shared" si="25"/>
        <v>5.0290398883657023E-2</v>
      </c>
      <c r="X149">
        <f t="shared" si="26"/>
        <v>2.8554409387616497E-2</v>
      </c>
      <c r="Y149">
        <f t="shared" si="27"/>
        <v>1.2345232754308821E-2</v>
      </c>
      <c r="Z149">
        <f>100*(P149/$T$5)</f>
        <v>2.6075159636850895E-3</v>
      </c>
      <c r="AA149">
        <f>100*(Q149/$T$6)</f>
        <v>1.7757549605803922E-3</v>
      </c>
    </row>
    <row r="150" spans="1:27" x14ac:dyDescent="0.3">
      <c r="A150">
        <v>3552</v>
      </c>
      <c r="B150">
        <v>1625311.55359369</v>
      </c>
      <c r="C150">
        <v>29037444.759089898</v>
      </c>
      <c r="D150">
        <v>31110015.063162599</v>
      </c>
      <c r="E150">
        <v>18669597.157445699</v>
      </c>
      <c r="F150">
        <v>10914876.795897201</v>
      </c>
      <c r="G150">
        <v>6028534.1440874804</v>
      </c>
      <c r="H150">
        <v>13961426.168230999</v>
      </c>
      <c r="J150">
        <f t="shared" si="28"/>
        <v>148</v>
      </c>
      <c r="K150">
        <f t="shared" si="29"/>
        <v>1.086438204273857E-5</v>
      </c>
      <c r="L150">
        <f t="shared" si="30"/>
        <v>1.9410056657145653E-4</v>
      </c>
      <c r="M150">
        <f t="shared" si="31"/>
        <v>2.0795464614413502E-4</v>
      </c>
      <c r="N150">
        <f t="shared" si="32"/>
        <v>1.2479677244281884E-4</v>
      </c>
      <c r="O150">
        <f t="shared" si="33"/>
        <v>7.2960406389687167E-5</v>
      </c>
      <c r="P150">
        <f t="shared" si="34"/>
        <v>4.0297688128927006E-5</v>
      </c>
      <c r="Q150">
        <f t="shared" si="35"/>
        <v>9.3325041231490639E-5</v>
      </c>
      <c r="V150">
        <f t="shared" si="36"/>
        <v>148</v>
      </c>
      <c r="W150">
        <f t="shared" si="25"/>
        <v>5.015518516058308E-2</v>
      </c>
      <c r="X150">
        <f t="shared" si="26"/>
        <v>2.8762744971526286E-2</v>
      </c>
      <c r="Y150">
        <f t="shared" si="27"/>
        <v>1.2479677244281884E-2</v>
      </c>
      <c r="Z150">
        <f>100*(P150/$T$5)</f>
        <v>2.6442052578036094E-3</v>
      </c>
      <c r="AA150">
        <f>100*(Q150/$T$6)</f>
        <v>1.7933328445713036E-3</v>
      </c>
    </row>
    <row r="151" spans="1:27" x14ac:dyDescent="0.3">
      <c r="A151">
        <v>3576</v>
      </c>
      <c r="B151">
        <v>1647384.8619707201</v>
      </c>
      <c r="C151">
        <v>28966261.018759798</v>
      </c>
      <c r="D151">
        <v>31331761.938099202</v>
      </c>
      <c r="E151">
        <v>18864458.3246613</v>
      </c>
      <c r="F151">
        <v>13319389.89058</v>
      </c>
      <c r="G151">
        <v>6112819.72197231</v>
      </c>
      <c r="H151">
        <v>14044528.0569968</v>
      </c>
      <c r="J151">
        <f t="shared" si="28"/>
        <v>149</v>
      </c>
      <c r="K151">
        <f t="shared" si="29"/>
        <v>1.1011930895526204E-5</v>
      </c>
      <c r="L151">
        <f t="shared" si="30"/>
        <v>1.9362473943021255E-4</v>
      </c>
      <c r="M151">
        <f t="shared" si="31"/>
        <v>2.094369113509305E-4</v>
      </c>
      <c r="N151">
        <f t="shared" si="32"/>
        <v>1.2609932035201403E-4</v>
      </c>
      <c r="O151">
        <f t="shared" si="33"/>
        <v>8.9033354883556149E-5</v>
      </c>
      <c r="P151">
        <f t="shared" si="34"/>
        <v>4.086109439821063E-5</v>
      </c>
      <c r="Q151">
        <f t="shared" si="35"/>
        <v>9.3880535140352945E-5</v>
      </c>
      <c r="V151">
        <f t="shared" si="36"/>
        <v>149</v>
      </c>
      <c r="W151">
        <f t="shared" si="25"/>
        <v>5.0032232410907637E-2</v>
      </c>
      <c r="X151">
        <f t="shared" si="26"/>
        <v>2.8967760906076143E-2</v>
      </c>
      <c r="Y151">
        <f t="shared" si="27"/>
        <v>1.2609932035201403E-2</v>
      </c>
      <c r="Z151">
        <f>100*(P151/$T$5)</f>
        <v>2.6811741731109337E-3</v>
      </c>
      <c r="AA151">
        <f>100*(Q151/$T$6)</f>
        <v>1.8040072086924087E-3</v>
      </c>
    </row>
    <row r="152" spans="1:27" x14ac:dyDescent="0.3">
      <c r="A152">
        <v>3600</v>
      </c>
      <c r="B152">
        <v>1669607.42395437</v>
      </c>
      <c r="C152">
        <v>28902891.2188414</v>
      </c>
      <c r="D152">
        <v>31549904.171372999</v>
      </c>
      <c r="E152">
        <v>19053563.941132899</v>
      </c>
      <c r="F152">
        <v>15947846.947721699</v>
      </c>
      <c r="G152">
        <v>6197744.0396678401</v>
      </c>
      <c r="H152">
        <v>14181284.3073308</v>
      </c>
      <c r="J152">
        <f t="shared" si="28"/>
        <v>150</v>
      </c>
      <c r="K152">
        <f t="shared" si="29"/>
        <v>1.1160477432850067E-5</v>
      </c>
      <c r="L152">
        <f t="shared" si="30"/>
        <v>1.9320114451097192E-4</v>
      </c>
      <c r="M152">
        <f t="shared" si="31"/>
        <v>2.1089508135944517E-4</v>
      </c>
      <c r="N152">
        <f t="shared" si="32"/>
        <v>1.2736339532842846E-4</v>
      </c>
      <c r="O152">
        <f t="shared" si="33"/>
        <v>1.0660325499813971E-4</v>
      </c>
      <c r="P152">
        <f t="shared" si="34"/>
        <v>4.1428770318635292E-5</v>
      </c>
      <c r="Q152">
        <f t="shared" si="35"/>
        <v>9.4794681198735292E-5</v>
      </c>
      <c r="V152">
        <f t="shared" si="36"/>
        <v>150</v>
      </c>
      <c r="W152">
        <f t="shared" si="25"/>
        <v>4.992277635942427E-2</v>
      </c>
      <c r="X152">
        <f t="shared" si="26"/>
        <v>2.9169444171430869E-2</v>
      </c>
      <c r="Y152">
        <f t="shared" si="27"/>
        <v>1.2736339532842846E-2</v>
      </c>
      <c r="Z152">
        <f>100*(P152/$T$5)</f>
        <v>2.7184232492542841E-3</v>
      </c>
      <c r="AA152">
        <f>100*(Q152/$T$6)</f>
        <v>1.8215734281079037E-3</v>
      </c>
    </row>
    <row r="153" spans="1:27" x14ac:dyDescent="0.3">
      <c r="A153">
        <v>3624</v>
      </c>
      <c r="B153">
        <v>1691979.2452044301</v>
      </c>
      <c r="C153">
        <v>28848063.958963599</v>
      </c>
      <c r="D153">
        <v>31764431.256862901</v>
      </c>
      <c r="E153">
        <v>19237795.7775914</v>
      </c>
      <c r="F153">
        <v>18654502.7411252</v>
      </c>
      <c r="G153">
        <v>6283308.3795475597</v>
      </c>
      <c r="H153">
        <v>14177770.0517655</v>
      </c>
      <c r="J153">
        <f t="shared" si="28"/>
        <v>151</v>
      </c>
      <c r="K153">
        <f t="shared" si="29"/>
        <v>1.1310021692542982E-5</v>
      </c>
      <c r="L153">
        <f t="shared" si="30"/>
        <v>1.9283465213210962E-4</v>
      </c>
      <c r="M153">
        <f t="shared" si="31"/>
        <v>2.1232908594159694E-4</v>
      </c>
      <c r="N153">
        <f t="shared" si="32"/>
        <v>1.2859489156143985E-4</v>
      </c>
      <c r="O153">
        <f t="shared" si="33"/>
        <v>1.2469587393800267E-4</v>
      </c>
      <c r="P153">
        <f t="shared" si="34"/>
        <v>4.2000724462216309E-5</v>
      </c>
      <c r="Q153">
        <f t="shared" si="35"/>
        <v>9.4771190185598259E-5</v>
      </c>
      <c r="V153">
        <f t="shared" si="36"/>
        <v>151</v>
      </c>
      <c r="W153">
        <f t="shared" si="25"/>
        <v>4.9828075486333237E-2</v>
      </c>
      <c r="X153">
        <f t="shared" si="26"/>
        <v>2.9367785054162786E-2</v>
      </c>
      <c r="Y153">
        <f t="shared" si="27"/>
        <v>1.2859489156143985E-2</v>
      </c>
      <c r="Z153">
        <f>100*(P153/$T$5)</f>
        <v>2.7559530487018574E-3</v>
      </c>
      <c r="AA153">
        <f>100*(Q153/$T$6)</f>
        <v>1.8211220250883601E-3</v>
      </c>
    </row>
    <row r="154" spans="1:27" x14ac:dyDescent="0.3">
      <c r="A154">
        <v>3648</v>
      </c>
      <c r="B154">
        <v>1714500.3314066399</v>
      </c>
      <c r="C154">
        <v>28802524.972138699</v>
      </c>
      <c r="D154">
        <v>31975336.270179</v>
      </c>
      <c r="E154">
        <v>19418396.2229806</v>
      </c>
      <c r="F154">
        <v>21331455.0198741</v>
      </c>
      <c r="G154">
        <v>6369513.9367059404</v>
      </c>
      <c r="H154">
        <v>14242945.2734771</v>
      </c>
      <c r="J154">
        <f t="shared" si="28"/>
        <v>152</v>
      </c>
      <c r="K154">
        <f t="shared" si="29"/>
        <v>1.146056371261123E-5</v>
      </c>
      <c r="L154">
        <f t="shared" si="30"/>
        <v>1.9253024713996455E-4</v>
      </c>
      <c r="M154">
        <f t="shared" si="31"/>
        <v>2.1373887881135696E-4</v>
      </c>
      <c r="N154">
        <f t="shared" si="32"/>
        <v>1.2980211378997727E-4</v>
      </c>
      <c r="O154">
        <f t="shared" si="33"/>
        <v>1.4258993997242044E-4</v>
      </c>
      <c r="P154">
        <f t="shared" si="34"/>
        <v>4.2576964817553081E-5</v>
      </c>
      <c r="Q154">
        <f t="shared" si="35"/>
        <v>9.5206853432333561E-5</v>
      </c>
      <c r="V154">
        <f t="shared" si="36"/>
        <v>152</v>
      </c>
      <c r="W154">
        <f t="shared" si="25"/>
        <v>4.974941786562391E-2</v>
      </c>
      <c r="X154">
        <f t="shared" si="26"/>
        <v>2.9562777152331531E-2</v>
      </c>
      <c r="Y154">
        <f t="shared" si="27"/>
        <v>1.2980211378997727E-2</v>
      </c>
      <c r="Z154">
        <f>100*(P154/$T$5)</f>
        <v>2.7937640956399662E-3</v>
      </c>
      <c r="AA154">
        <f>100*(Q154/$T$6)</f>
        <v>1.8294937246797378E-3</v>
      </c>
    </row>
    <row r="155" spans="1:27" x14ac:dyDescent="0.3">
      <c r="A155">
        <v>3672</v>
      </c>
      <c r="B155">
        <v>1737170.6882637599</v>
      </c>
      <c r="C155">
        <v>28767040.5405869</v>
      </c>
      <c r="D155">
        <v>32182615.871324901</v>
      </c>
      <c r="E155">
        <v>19596935.434787799</v>
      </c>
      <c r="F155">
        <v>23888231.157297298</v>
      </c>
      <c r="G155">
        <v>6456361.8230863502</v>
      </c>
      <c r="H155">
        <v>14364612.8636807</v>
      </c>
      <c r="J155">
        <f t="shared" si="28"/>
        <v>153</v>
      </c>
      <c r="K155">
        <f t="shared" si="29"/>
        <v>1.1612103531174866E-5</v>
      </c>
      <c r="L155">
        <f t="shared" si="30"/>
        <v>1.9229305174189106E-4</v>
      </c>
      <c r="M155">
        <f t="shared" si="31"/>
        <v>2.1512443764254611E-4</v>
      </c>
      <c r="N155">
        <f t="shared" si="32"/>
        <v>1.3099555771916977E-4</v>
      </c>
      <c r="O155">
        <f t="shared" si="33"/>
        <v>1.5968068955412633E-4</v>
      </c>
      <c r="P155">
        <f t="shared" si="34"/>
        <v>4.3157498817422128E-5</v>
      </c>
      <c r="Q155">
        <f t="shared" si="35"/>
        <v>9.6020139463106284E-5</v>
      </c>
      <c r="V155">
        <f t="shared" si="36"/>
        <v>153</v>
      </c>
      <c r="W155">
        <f t="shared" si="25"/>
        <v>4.9688127065088128E-2</v>
      </c>
      <c r="X155">
        <f t="shared" si="26"/>
        <v>2.975441737794552E-2</v>
      </c>
      <c r="Y155">
        <f t="shared" si="27"/>
        <v>1.3099555771916977E-2</v>
      </c>
      <c r="Z155">
        <f>100*(P155/$T$5)</f>
        <v>2.8318568777836038E-3</v>
      </c>
      <c r="AA155">
        <f>100*(Q155/$T$6)</f>
        <v>1.8451218190450862E-3</v>
      </c>
    </row>
    <row r="156" spans="1:27" x14ac:dyDescent="0.3">
      <c r="A156">
        <v>3696</v>
      </c>
      <c r="B156">
        <v>1759990.32149357</v>
      </c>
      <c r="C156">
        <v>28742400.413583402</v>
      </c>
      <c r="D156">
        <v>32386270.3029023</v>
      </c>
      <c r="E156">
        <v>19775240.226700298</v>
      </c>
      <c r="F156">
        <v>26243133.419066899</v>
      </c>
      <c r="G156">
        <v>6543853.1614889503</v>
      </c>
      <c r="H156">
        <v>14558299.1667115</v>
      </c>
      <c r="J156">
        <f t="shared" si="28"/>
        <v>154</v>
      </c>
      <c r="K156">
        <f t="shared" si="29"/>
        <v>1.1764641186454345E-5</v>
      </c>
      <c r="L156">
        <f t="shared" si="30"/>
        <v>1.9212834501058424E-4</v>
      </c>
      <c r="M156">
        <f t="shared" si="31"/>
        <v>2.1648576405683355E-4</v>
      </c>
      <c r="N156">
        <f t="shared" si="32"/>
        <v>1.3218743467045653E-4</v>
      </c>
      <c r="O156">
        <f t="shared" si="33"/>
        <v>1.7542201483333489E-4</v>
      </c>
      <c r="P156">
        <f t="shared" si="34"/>
        <v>4.3742333967172129E-5</v>
      </c>
      <c r="Q156">
        <f t="shared" si="35"/>
        <v>9.7314834002082222E-5</v>
      </c>
      <c r="V156">
        <f t="shared" si="36"/>
        <v>154</v>
      </c>
      <c r="W156">
        <f t="shared" si="25"/>
        <v>4.9645567186197483E-2</v>
      </c>
      <c r="X156">
        <f t="shared" si="26"/>
        <v>2.9942705955302011E-2</v>
      </c>
      <c r="Y156">
        <f t="shared" si="27"/>
        <v>1.3218743467045654E-2</v>
      </c>
      <c r="Z156">
        <f>100*(P156/$T$5)</f>
        <v>2.8702318876097197E-3</v>
      </c>
      <c r="AA156">
        <f>100*(Q156/$T$6)</f>
        <v>1.8700006533835939E-3</v>
      </c>
    </row>
    <row r="157" spans="1:27" x14ac:dyDescent="0.3">
      <c r="A157">
        <v>3720</v>
      </c>
      <c r="B157">
        <v>1782959.2368290699</v>
      </c>
      <c r="C157">
        <v>28729420.2495749</v>
      </c>
      <c r="D157">
        <v>32586303.386298899</v>
      </c>
      <c r="E157">
        <v>19955267.445883799</v>
      </c>
      <c r="F157">
        <v>28321781.472357702</v>
      </c>
      <c r="G157">
        <v>6631989.11423379</v>
      </c>
      <c r="H157">
        <v>14755457.975563699</v>
      </c>
      <c r="J157">
        <f t="shared" si="28"/>
        <v>155</v>
      </c>
      <c r="K157">
        <f t="shared" si="29"/>
        <v>1.1918176716771858E-5</v>
      </c>
      <c r="L157">
        <f t="shared" si="30"/>
        <v>1.9204157920838836E-4</v>
      </c>
      <c r="M157">
        <f t="shared" si="31"/>
        <v>2.1782288359825468E-4</v>
      </c>
      <c r="N157">
        <f t="shared" si="32"/>
        <v>1.3339082517302005E-4</v>
      </c>
      <c r="O157">
        <f t="shared" si="33"/>
        <v>1.8931672107190976E-4</v>
      </c>
      <c r="P157">
        <f t="shared" si="34"/>
        <v>4.4331478036322129E-5</v>
      </c>
      <c r="Q157">
        <f t="shared" si="35"/>
        <v>9.8632740478366978E-5</v>
      </c>
      <c r="V157">
        <f t="shared" si="36"/>
        <v>155</v>
      </c>
      <c r="W157">
        <f t="shared" si="25"/>
        <v>4.9623147082270891E-2</v>
      </c>
      <c r="X157">
        <f t="shared" si="26"/>
        <v>3.0127646417462611E-2</v>
      </c>
      <c r="Y157">
        <f t="shared" si="27"/>
        <v>1.3339082517302005E-2</v>
      </c>
      <c r="Z157">
        <f>100*(P157/$T$5)</f>
        <v>2.9088896349292737E-3</v>
      </c>
      <c r="AA157">
        <f>100*(Q157/$T$6)</f>
        <v>1.895325528023962E-3</v>
      </c>
    </row>
    <row r="158" spans="1:27" x14ac:dyDescent="0.3">
      <c r="A158">
        <v>3744</v>
      </c>
      <c r="B158">
        <v>1806077.4400205601</v>
      </c>
      <c r="C158">
        <v>28728943.6117821</v>
      </c>
      <c r="D158">
        <v>32782722.513796099</v>
      </c>
      <c r="E158">
        <v>20138916.4077207</v>
      </c>
      <c r="F158">
        <v>30060092.456569299</v>
      </c>
      <c r="G158">
        <v>6720770.7999068396</v>
      </c>
      <c r="H158">
        <v>14894931.9835671</v>
      </c>
      <c r="J158">
        <f t="shared" si="28"/>
        <v>156</v>
      </c>
      <c r="K158">
        <f t="shared" si="29"/>
        <v>1.207271016056524E-5</v>
      </c>
      <c r="L158">
        <f t="shared" si="30"/>
        <v>1.9203839312688571E-4</v>
      </c>
      <c r="M158">
        <f t="shared" si="31"/>
        <v>2.1913584568045521E-4</v>
      </c>
      <c r="N158">
        <f t="shared" si="32"/>
        <v>1.3461842518529878E-4</v>
      </c>
      <c r="O158">
        <f t="shared" si="33"/>
        <v>2.009364469022012E-4</v>
      </c>
      <c r="P158">
        <f t="shared" si="34"/>
        <v>4.4924938502051069E-5</v>
      </c>
      <c r="Q158">
        <f t="shared" si="35"/>
        <v>9.9565053366090247E-5</v>
      </c>
      <c r="V158">
        <f t="shared" si="36"/>
        <v>156</v>
      </c>
      <c r="W158">
        <f t="shared" si="25"/>
        <v>4.9622323805396822E-2</v>
      </c>
      <c r="X158">
        <f t="shared" si="26"/>
        <v>3.0309245598956459E-2</v>
      </c>
      <c r="Y158">
        <f t="shared" si="27"/>
        <v>1.3461842518529879E-2</v>
      </c>
      <c r="Z158">
        <f>100*(P158/$T$5)</f>
        <v>2.9478306103708049E-3</v>
      </c>
      <c r="AA158">
        <f>100*(Q158/$T$6)</f>
        <v>1.9132408410086521E-3</v>
      </c>
    </row>
    <row r="159" spans="1:27" x14ac:dyDescent="0.3">
      <c r="A159">
        <v>3768</v>
      </c>
      <c r="B159">
        <v>1829344.9368290701</v>
      </c>
      <c r="C159">
        <v>28741843.523435298</v>
      </c>
      <c r="D159">
        <v>32975538.638067499</v>
      </c>
      <c r="E159">
        <v>20327803.408625402</v>
      </c>
      <c r="F159">
        <v>31409381.390945598</v>
      </c>
      <c r="G159">
        <v>6810199.2688527796</v>
      </c>
      <c r="H159">
        <v>15061906.6601767</v>
      </c>
      <c r="J159">
        <f t="shared" si="28"/>
        <v>157</v>
      </c>
      <c r="K159">
        <f t="shared" si="29"/>
        <v>1.2228241556344052E-5</v>
      </c>
      <c r="L159">
        <f t="shared" si="30"/>
        <v>1.9212462248285628E-4</v>
      </c>
      <c r="M159">
        <f t="shared" si="31"/>
        <v>2.2042472351649397E-4</v>
      </c>
      <c r="N159">
        <f t="shared" si="32"/>
        <v>1.358810388277099E-4</v>
      </c>
      <c r="O159">
        <f t="shared" si="33"/>
        <v>2.099557579608663E-4</v>
      </c>
      <c r="P159">
        <f t="shared" si="34"/>
        <v>4.5522722385379544E-5</v>
      </c>
      <c r="Q159">
        <f t="shared" si="35"/>
        <v>1.0068119425251805E-4</v>
      </c>
      <c r="V159">
        <f t="shared" si="36"/>
        <v>157</v>
      </c>
      <c r="W159">
        <f t="shared" si="25"/>
        <v>4.9644605292727725E-2</v>
      </c>
      <c r="X159">
        <f t="shared" si="26"/>
        <v>3.0487513626071092E-2</v>
      </c>
      <c r="Y159">
        <f t="shared" si="27"/>
        <v>1.3588103882770989E-2</v>
      </c>
      <c r="Z159">
        <f>100*(P159/$T$5)</f>
        <v>2.9870552746312038E-3</v>
      </c>
      <c r="AA159">
        <f>100*(Q159/$T$6)</f>
        <v>1.9346885905556891E-3</v>
      </c>
    </row>
    <row r="160" spans="1:27" x14ac:dyDescent="0.3">
      <c r="A160">
        <v>3792</v>
      </c>
      <c r="B160">
        <v>1852761.73302978</v>
      </c>
      <c r="C160">
        <v>28769023.598900001</v>
      </c>
      <c r="D160">
        <v>33164766.258059699</v>
      </c>
      <c r="E160">
        <v>20523053.467516601</v>
      </c>
      <c r="F160">
        <v>32341065.634404901</v>
      </c>
      <c r="G160">
        <v>6900275.6179326698</v>
      </c>
      <c r="H160">
        <v>15059103.1639279</v>
      </c>
      <c r="J160">
        <f t="shared" si="28"/>
        <v>158</v>
      </c>
      <c r="K160">
        <f t="shared" si="29"/>
        <v>1.2384770942712434E-5</v>
      </c>
      <c r="L160">
        <f t="shared" si="30"/>
        <v>1.9230630747927809E-4</v>
      </c>
      <c r="M160">
        <f t="shared" si="31"/>
        <v>2.2168961402446323E-4</v>
      </c>
      <c r="N160">
        <f t="shared" si="32"/>
        <v>1.3718618628019119E-4</v>
      </c>
      <c r="O160">
        <f t="shared" si="33"/>
        <v>2.1618359381286699E-4</v>
      </c>
      <c r="P160">
        <f t="shared" si="34"/>
        <v>4.6124837018266507E-5</v>
      </c>
      <c r="Q160">
        <f t="shared" si="35"/>
        <v>1.0066245430433088E-4</v>
      </c>
      <c r="V160">
        <f t="shared" si="36"/>
        <v>158</v>
      </c>
      <c r="W160">
        <f t="shared" si="25"/>
        <v>4.9691552320226894E-2</v>
      </c>
      <c r="X160">
        <f t="shared" si="26"/>
        <v>3.0662463903798509E-2</v>
      </c>
      <c r="Y160">
        <f t="shared" si="27"/>
        <v>1.3718618628019119E-2</v>
      </c>
      <c r="Z160">
        <f>100*(P160/$T$5)</f>
        <v>3.0265641088101382E-3</v>
      </c>
      <c r="AA160">
        <f>100*(Q160/$T$6)</f>
        <v>1.9343284839417926E-3</v>
      </c>
    </row>
    <row r="161" spans="1:27" x14ac:dyDescent="0.3">
      <c r="A161">
        <v>3816</v>
      </c>
      <c r="B161">
        <v>1876327.8344109899</v>
      </c>
      <c r="C161">
        <v>28811418.745101798</v>
      </c>
      <c r="D161">
        <v>33350423.4017675</v>
      </c>
      <c r="E161">
        <v>20725175.775068499</v>
      </c>
      <c r="F161">
        <v>32848680.9094721</v>
      </c>
      <c r="G161">
        <v>6991001.0940330299</v>
      </c>
      <c r="H161">
        <v>15090619.8644452</v>
      </c>
      <c r="J161">
        <f t="shared" si="28"/>
        <v>159</v>
      </c>
      <c r="K161">
        <f t="shared" si="29"/>
        <v>1.2542298358362231E-5</v>
      </c>
      <c r="L161">
        <f t="shared" si="30"/>
        <v>1.9258969749399597E-4</v>
      </c>
      <c r="M161">
        <f t="shared" si="31"/>
        <v>2.229306377123496E-4</v>
      </c>
      <c r="N161">
        <f t="shared" si="32"/>
        <v>1.3853727122371991E-4</v>
      </c>
      <c r="O161">
        <f t="shared" si="33"/>
        <v>2.1957674404727339E-4</v>
      </c>
      <c r="P161">
        <f t="shared" si="34"/>
        <v>4.6731290735514904E-5</v>
      </c>
      <c r="Q161">
        <f t="shared" si="35"/>
        <v>1.0087312743613102E-4</v>
      </c>
      <c r="V161">
        <f t="shared" si="36"/>
        <v>159</v>
      </c>
      <c r="W161">
        <f t="shared" si="25"/>
        <v>4.9764779714210845E-2</v>
      </c>
      <c r="X161">
        <f t="shared" si="26"/>
        <v>3.0834113099910042E-2</v>
      </c>
      <c r="Y161">
        <f t="shared" si="27"/>
        <v>1.3853727122371991E-2</v>
      </c>
      <c r="Z161">
        <f>100*(P161/$T$5)</f>
        <v>3.0663576598106896E-3</v>
      </c>
      <c r="AA161">
        <f>100*(Q161/$T$6)</f>
        <v>1.9383767762515569E-3</v>
      </c>
    </row>
    <row r="162" spans="1:27" x14ac:dyDescent="0.3">
      <c r="A162">
        <v>3840</v>
      </c>
      <c r="B162">
        <v>1900043.24677451</v>
      </c>
      <c r="C162">
        <v>28869995.433672398</v>
      </c>
      <c r="D162">
        <v>33532531.605787501</v>
      </c>
      <c r="E162">
        <v>20934063.767147198</v>
      </c>
      <c r="F162">
        <v>32946057.7665914</v>
      </c>
      <c r="G162">
        <v>7082377.0071801599</v>
      </c>
      <c r="H162">
        <v>15132266.4375413</v>
      </c>
      <c r="J162">
        <f t="shared" si="28"/>
        <v>160</v>
      </c>
      <c r="K162">
        <f t="shared" si="29"/>
        <v>1.2700823842075602E-5</v>
      </c>
      <c r="L162">
        <f t="shared" si="30"/>
        <v>1.9298125289887965E-4</v>
      </c>
      <c r="M162">
        <f t="shared" si="31"/>
        <v>2.241479385413603E-4</v>
      </c>
      <c r="N162">
        <f t="shared" si="32"/>
        <v>1.3993358133119785E-4</v>
      </c>
      <c r="O162">
        <f t="shared" si="33"/>
        <v>2.2022765886758956E-4</v>
      </c>
      <c r="P162">
        <f t="shared" si="34"/>
        <v>4.7342092293985024E-5</v>
      </c>
      <c r="Q162">
        <f t="shared" si="35"/>
        <v>1.0115151361992848E-4</v>
      </c>
      <c r="V162">
        <f t="shared" si="36"/>
        <v>160</v>
      </c>
      <c r="W162">
        <f t="shared" si="25"/>
        <v>4.9865956821415924E-2</v>
      </c>
      <c r="X162">
        <f t="shared" si="26"/>
        <v>3.1002481126052604E-2</v>
      </c>
      <c r="Y162">
        <f t="shared" si="27"/>
        <v>1.3993358133119785E-2</v>
      </c>
      <c r="Z162">
        <f>100*(P162/$T$5)</f>
        <v>3.1064365022299882E-3</v>
      </c>
      <c r="AA162">
        <f>100*(Q162/$T$6)</f>
        <v>1.9437262417357512E-3</v>
      </c>
    </row>
    <row r="163" spans="1:27" x14ac:dyDescent="0.3">
      <c r="A163">
        <v>3864</v>
      </c>
      <c r="B163">
        <v>1923907.97592205</v>
      </c>
      <c r="C163">
        <v>28945751.536613699</v>
      </c>
      <c r="D163">
        <v>33711115.8902063</v>
      </c>
      <c r="E163">
        <v>21149110.177621901</v>
      </c>
      <c r="F163">
        <v>32662155.021235898</v>
      </c>
      <c r="G163">
        <v>7174404.5307276295</v>
      </c>
      <c r="H163">
        <v>15260100.3851019</v>
      </c>
      <c r="J163">
        <f t="shared" si="28"/>
        <v>161</v>
      </c>
      <c r="K163">
        <f t="shared" si="29"/>
        <v>1.2860347432634024E-5</v>
      </c>
      <c r="L163">
        <f t="shared" si="30"/>
        <v>1.9348764396132152E-4</v>
      </c>
      <c r="M163">
        <f t="shared" si="31"/>
        <v>2.2534168375806351E-4</v>
      </c>
      <c r="N163">
        <f t="shared" si="32"/>
        <v>1.4137105733704481E-4</v>
      </c>
      <c r="O163">
        <f t="shared" si="33"/>
        <v>2.1832991324355547E-4</v>
      </c>
      <c r="P163">
        <f t="shared" si="34"/>
        <v>4.7957249536949394E-5</v>
      </c>
      <c r="Q163">
        <f t="shared" si="35"/>
        <v>1.020060186169913E-4</v>
      </c>
      <c r="V163">
        <f t="shared" si="36"/>
        <v>161</v>
      </c>
      <c r="W163">
        <f t="shared" si="25"/>
        <v>4.9996807225147676E-2</v>
      </c>
      <c r="X163">
        <f t="shared" si="26"/>
        <v>3.1167591114531608E-2</v>
      </c>
      <c r="Y163">
        <f t="shared" si="27"/>
        <v>1.4137105733704481E-2</v>
      </c>
      <c r="Z163">
        <f>100*(P163/$T$5)</f>
        <v>3.146801150718464E-3</v>
      </c>
      <c r="AA163">
        <f>100*(Q163/$T$6)</f>
        <v>1.9601463992504095E-3</v>
      </c>
    </row>
    <row r="164" spans="1:27" x14ac:dyDescent="0.3">
      <c r="A164">
        <v>3888</v>
      </c>
      <c r="B164">
        <v>1947922.02767978</v>
      </c>
      <c r="C164">
        <v>29039715.710125599</v>
      </c>
      <c r="D164">
        <v>33886204.733585201</v>
      </c>
      <c r="E164">
        <v>21369384.687160201</v>
      </c>
      <c r="F164">
        <v>32034277.4510125</v>
      </c>
      <c r="G164">
        <v>7267084.6644969303</v>
      </c>
      <c r="H164">
        <v>15371216.1701793</v>
      </c>
      <c r="J164">
        <f t="shared" si="28"/>
        <v>162</v>
      </c>
      <c r="K164">
        <f t="shared" si="29"/>
        <v>1.3020869168982486E-5</v>
      </c>
      <c r="L164">
        <f t="shared" si="30"/>
        <v>1.941157467254385E-4</v>
      </c>
      <c r="M164">
        <f t="shared" si="31"/>
        <v>2.265120637271738E-4</v>
      </c>
      <c r="N164">
        <f t="shared" si="32"/>
        <v>1.4284348052914572E-4</v>
      </c>
      <c r="O164">
        <f t="shared" si="33"/>
        <v>2.1413287066184827E-4</v>
      </c>
      <c r="P164">
        <f t="shared" si="34"/>
        <v>4.8576769147706751E-5</v>
      </c>
      <c r="Q164">
        <f t="shared" si="35"/>
        <v>1.027487711910381E-4</v>
      </c>
      <c r="V164">
        <f t="shared" si="36"/>
        <v>162</v>
      </c>
      <c r="W164">
        <f t="shared" si="25"/>
        <v>5.0159107680991855E-2</v>
      </c>
      <c r="X164">
        <f t="shared" si="26"/>
        <v>3.13294693951831E-2</v>
      </c>
      <c r="Y164">
        <f t="shared" si="27"/>
        <v>1.4284348052914573E-2</v>
      </c>
      <c r="Z164">
        <f>100*(P164/$T$5)</f>
        <v>3.1874520438127788E-3</v>
      </c>
      <c r="AA164">
        <f>100*(Q164/$T$6)</f>
        <v>1.9744191235787495E-3</v>
      </c>
    </row>
    <row r="165" spans="1:27" x14ac:dyDescent="0.3">
      <c r="A165">
        <v>3912</v>
      </c>
      <c r="B165">
        <v>1972085.40786759</v>
      </c>
      <c r="C165">
        <v>29152946.3126886</v>
      </c>
      <c r="D165">
        <v>34057830.040206403</v>
      </c>
      <c r="E165">
        <v>21593811.079351202</v>
      </c>
      <c r="F165">
        <v>31101632.790027101</v>
      </c>
      <c r="G165">
        <v>7360418.39391784</v>
      </c>
      <c r="H165">
        <v>15450504.5478647</v>
      </c>
      <c r="J165">
        <f t="shared" si="28"/>
        <v>163</v>
      </c>
      <c r="K165">
        <f t="shared" si="29"/>
        <v>1.3182389090023998E-5</v>
      </c>
      <c r="L165">
        <f t="shared" si="30"/>
        <v>1.9487263578000402E-4</v>
      </c>
      <c r="M165">
        <f t="shared" si="31"/>
        <v>2.2765929171260964E-4</v>
      </c>
      <c r="N165">
        <f t="shared" si="32"/>
        <v>1.4434365694753477E-4</v>
      </c>
      <c r="O165">
        <f t="shared" si="33"/>
        <v>2.0789861490659828E-4</v>
      </c>
      <c r="P165">
        <f t="shared" si="34"/>
        <v>4.9200657713354547E-5</v>
      </c>
      <c r="Q165">
        <f t="shared" si="35"/>
        <v>1.0327877371567312E-4</v>
      </c>
      <c r="V165">
        <f t="shared" si="36"/>
        <v>163</v>
      </c>
      <c r="W165">
        <f t="shared" si="25"/>
        <v>5.0354686248063052E-2</v>
      </c>
      <c r="X165">
        <f t="shared" si="26"/>
        <v>3.1488145465091238E-2</v>
      </c>
      <c r="Y165">
        <f t="shared" si="27"/>
        <v>1.4434365694753476E-2</v>
      </c>
      <c r="Z165">
        <f>100*(P165/$T$5)</f>
        <v>3.2283896137371747E-3</v>
      </c>
      <c r="AA165">
        <f>100*(Q165/$T$6)</f>
        <v>1.9846036455740419E-3</v>
      </c>
    </row>
    <row r="166" spans="1:27" x14ac:dyDescent="0.3">
      <c r="A166">
        <v>3936</v>
      </c>
      <c r="B166">
        <v>1996398.1223208499</v>
      </c>
      <c r="C166">
        <v>29286529.833608601</v>
      </c>
      <c r="D166">
        <v>34226027.107755199</v>
      </c>
      <c r="E166">
        <v>21821299.600186098</v>
      </c>
      <c r="F166">
        <v>29900579.805324402</v>
      </c>
      <c r="G166">
        <v>7454406.84907116</v>
      </c>
      <c r="H166">
        <v>15567196.6470658</v>
      </c>
      <c r="J166">
        <f t="shared" si="28"/>
        <v>164</v>
      </c>
      <c r="K166">
        <f t="shared" si="29"/>
        <v>1.334490723476504E-5</v>
      </c>
      <c r="L166">
        <f t="shared" si="30"/>
        <v>1.9576557375406819E-4</v>
      </c>
      <c r="M166">
        <f t="shared" si="31"/>
        <v>2.2878360366146522E-4</v>
      </c>
      <c r="N166">
        <f t="shared" si="32"/>
        <v>1.4586430214028141E-4</v>
      </c>
      <c r="O166">
        <f t="shared" si="33"/>
        <v>1.9987018586446794E-4</v>
      </c>
      <c r="P166">
        <f t="shared" si="34"/>
        <v>4.9828922787908821E-5</v>
      </c>
      <c r="Q166">
        <f t="shared" si="35"/>
        <v>1.0405880111675E-4</v>
      </c>
      <c r="V166">
        <f t="shared" si="36"/>
        <v>164</v>
      </c>
      <c r="W166">
        <f t="shared" si="25"/>
        <v>5.0585419574694625E-2</v>
      </c>
      <c r="X166">
        <f t="shared" si="26"/>
        <v>3.1643651958708885E-2</v>
      </c>
      <c r="Y166">
        <f t="shared" si="27"/>
        <v>1.458643021402814E-2</v>
      </c>
      <c r="Z166">
        <f>100*(P166/$T$5)</f>
        <v>3.2696143561619963E-3</v>
      </c>
      <c r="AA166">
        <f>100*(Q166/$T$6)</f>
        <v>1.9995926425201769E-3</v>
      </c>
    </row>
    <row r="167" spans="1:27" x14ac:dyDescent="0.3">
      <c r="A167">
        <v>3960</v>
      </c>
      <c r="B167">
        <v>2020860.1768831301</v>
      </c>
      <c r="C167">
        <v>29441578.804144599</v>
      </c>
      <c r="D167">
        <v>34390834.589581899</v>
      </c>
      <c r="E167">
        <v>22050818.824604601</v>
      </c>
      <c r="F167">
        <v>28462086.610169299</v>
      </c>
      <c r="G167">
        <v>7549051.2638947703</v>
      </c>
      <c r="H167">
        <v>15543529.651928701</v>
      </c>
      <c r="J167">
        <f t="shared" si="28"/>
        <v>165</v>
      </c>
      <c r="K167">
        <f t="shared" si="29"/>
        <v>1.3508423642266912E-5</v>
      </c>
      <c r="L167">
        <f t="shared" si="30"/>
        <v>1.9680199735390774E-4</v>
      </c>
      <c r="M167">
        <f t="shared" si="31"/>
        <v>2.2988525795175066E-4</v>
      </c>
      <c r="N167">
        <f t="shared" si="32"/>
        <v>1.4739852155484358E-4</v>
      </c>
      <c r="O167">
        <f t="shared" si="33"/>
        <v>1.902545896401691E-4</v>
      </c>
      <c r="P167">
        <f t="shared" si="34"/>
        <v>5.046157261961745E-5</v>
      </c>
      <c r="Q167">
        <f t="shared" si="35"/>
        <v>1.0390059927759827E-4</v>
      </c>
      <c r="V167">
        <f t="shared" si="36"/>
        <v>165</v>
      </c>
      <c r="W167">
        <f t="shared" si="25"/>
        <v>5.0853229290415441E-2</v>
      </c>
      <c r="X167">
        <f t="shared" si="26"/>
        <v>3.1796024612966892E-2</v>
      </c>
      <c r="Y167">
        <f t="shared" si="27"/>
        <v>1.4739852155484359E-2</v>
      </c>
      <c r="Z167">
        <f>100*(P167/$T$5)</f>
        <v>3.3111268123108563E-3</v>
      </c>
      <c r="AA167">
        <f>100*(Q167/$T$6)</f>
        <v>1.9965526379246402E-3</v>
      </c>
    </row>
    <row r="168" spans="1:27" x14ac:dyDescent="0.3">
      <c r="A168">
        <v>3984</v>
      </c>
      <c r="B168">
        <v>2045471.57739102</v>
      </c>
      <c r="C168">
        <v>29619229.1552951</v>
      </c>
      <c r="D168">
        <v>34552294.4543024</v>
      </c>
      <c r="E168">
        <v>22281412.959539302</v>
      </c>
      <c r="F168">
        <v>26811345.946281198</v>
      </c>
      <c r="G168">
        <v>7644352.8412568998</v>
      </c>
      <c r="H168">
        <v>15571002.662083801</v>
      </c>
      <c r="J168">
        <f t="shared" si="28"/>
        <v>166</v>
      </c>
      <c r="K168">
        <f t="shared" si="29"/>
        <v>1.3672938351544252E-5</v>
      </c>
      <c r="L168">
        <f t="shared" si="30"/>
        <v>1.9798949970117045E-4</v>
      </c>
      <c r="M168">
        <f t="shared" si="31"/>
        <v>2.3096453512234225E-4</v>
      </c>
      <c r="N168">
        <f t="shared" si="32"/>
        <v>1.4893992620012902E-4</v>
      </c>
      <c r="O168">
        <f t="shared" si="33"/>
        <v>1.7922022691364438E-4</v>
      </c>
      <c r="P168">
        <f t="shared" si="34"/>
        <v>5.1098615249043448E-5</v>
      </c>
      <c r="Q168">
        <f t="shared" si="35"/>
        <v>1.0408424239360829E-4</v>
      </c>
      <c r="V168">
        <f t="shared" si="36"/>
        <v>166</v>
      </c>
      <c r="W168">
        <f t="shared" si="25"/>
        <v>5.1160077442162902E-2</v>
      </c>
      <c r="X168">
        <f t="shared" si="26"/>
        <v>3.194530222992286E-2</v>
      </c>
      <c r="Y168">
        <f t="shared" si="27"/>
        <v>1.4893992620012902E-2</v>
      </c>
      <c r="Z168">
        <f>100*(P168/$T$5)</f>
        <v>3.3529275097797539E-3</v>
      </c>
      <c r="AA168">
        <f>100*(Q168/$T$6)</f>
        <v>2.0000815217834033E-3</v>
      </c>
    </row>
    <row r="169" spans="1:27" x14ac:dyDescent="0.3">
      <c r="A169">
        <v>4008</v>
      </c>
      <c r="B169">
        <v>2070232.3296965801</v>
      </c>
      <c r="C169">
        <v>29820636.975645199</v>
      </c>
      <c r="D169">
        <v>34710451.942216396</v>
      </c>
      <c r="E169">
        <v>22512180.250101101</v>
      </c>
      <c r="F169">
        <v>24969343.4516876</v>
      </c>
      <c r="G169">
        <v>7740312.7103840299</v>
      </c>
      <c r="H169">
        <v>15618650.992431</v>
      </c>
      <c r="J169">
        <f t="shared" si="28"/>
        <v>167</v>
      </c>
      <c r="K169">
        <f t="shared" si="29"/>
        <v>1.3838451401715107E-5</v>
      </c>
      <c r="L169">
        <f t="shared" si="30"/>
        <v>1.9933580866072993E-4</v>
      </c>
      <c r="M169">
        <f t="shared" si="31"/>
        <v>2.3202173758166041E-4</v>
      </c>
      <c r="N169">
        <f t="shared" si="32"/>
        <v>1.5048248830281484E-4</v>
      </c>
      <c r="O169">
        <f t="shared" si="33"/>
        <v>1.6690737601395456E-4</v>
      </c>
      <c r="P169">
        <f t="shared" si="34"/>
        <v>5.1740058224492179E-5</v>
      </c>
      <c r="Q169">
        <f t="shared" si="35"/>
        <v>1.0440274727560829E-4</v>
      </c>
      <c r="V169">
        <f t="shared" si="36"/>
        <v>167</v>
      </c>
      <c r="W169">
        <f t="shared" si="25"/>
        <v>5.1507960894245461E-2</v>
      </c>
      <c r="X169">
        <f t="shared" si="26"/>
        <v>3.2091526636467554E-2</v>
      </c>
      <c r="Y169">
        <f t="shared" si="27"/>
        <v>1.5048248830281484E-2</v>
      </c>
      <c r="Z169">
        <f>100*(P169/$T$5)</f>
        <v>3.395016943864316E-3</v>
      </c>
      <c r="AA169">
        <f>100*(Q169/$T$6)</f>
        <v>2.0062019076788683E-3</v>
      </c>
    </row>
    <row r="170" spans="1:27" x14ac:dyDescent="0.3">
      <c r="A170">
        <v>4032</v>
      </c>
      <c r="B170">
        <v>2095142.43964594</v>
      </c>
      <c r="C170">
        <v>30046974.608667102</v>
      </c>
      <c r="D170">
        <v>34865355.517374597</v>
      </c>
      <c r="E170">
        <v>22742229.346194301</v>
      </c>
      <c r="F170">
        <v>22956398.472654399</v>
      </c>
      <c r="G170">
        <v>7836931.9961750098</v>
      </c>
      <c r="H170">
        <v>15801981.4120219</v>
      </c>
      <c r="J170">
        <f t="shared" si="28"/>
        <v>168</v>
      </c>
      <c r="K170">
        <f t="shared" si="29"/>
        <v>1.4004962831857888E-5</v>
      </c>
      <c r="L170">
        <f t="shared" si="30"/>
        <v>2.0084876075312233E-4</v>
      </c>
      <c r="M170">
        <f t="shared" si="31"/>
        <v>2.3305718928726336E-4</v>
      </c>
      <c r="N170">
        <f t="shared" si="32"/>
        <v>1.5202024964033623E-4</v>
      </c>
      <c r="O170">
        <f t="shared" si="33"/>
        <v>1.5345186144822458E-4</v>
      </c>
      <c r="P170">
        <f t="shared" si="34"/>
        <v>5.2385909065340976E-5</v>
      </c>
      <c r="Q170">
        <f t="shared" si="35"/>
        <v>1.0562821799479879E-4</v>
      </c>
      <c r="V170">
        <f t="shared" si="36"/>
        <v>168</v>
      </c>
      <c r="W170">
        <f t="shared" si="25"/>
        <v>5.1898904587370107E-2</v>
      </c>
      <c r="X170">
        <f t="shared" si="26"/>
        <v>3.2234742640008765E-2</v>
      </c>
      <c r="Y170">
        <f t="shared" si="27"/>
        <v>1.5202024964033624E-2</v>
      </c>
      <c r="Z170">
        <f>100*(P170/$T$5)</f>
        <v>3.437395607962006E-3</v>
      </c>
      <c r="AA170">
        <f>100*(Q170/$T$6)</f>
        <v>2.0297505379477093E-3</v>
      </c>
    </row>
    <row r="171" spans="1:27" x14ac:dyDescent="0.3">
      <c r="A171">
        <v>4056</v>
      </c>
      <c r="B171">
        <v>2120201.9130880702</v>
      </c>
      <c r="C171">
        <v>30299426.0119159</v>
      </c>
      <c r="D171">
        <v>35017056.819198497</v>
      </c>
      <c r="E171">
        <v>22970628.5190075</v>
      </c>
      <c r="F171">
        <v>20798247.076016702</v>
      </c>
      <c r="G171">
        <v>7934211.8605333399</v>
      </c>
      <c r="H171">
        <v>15973020.0299522</v>
      </c>
      <c r="J171">
        <f t="shared" si="28"/>
        <v>169</v>
      </c>
      <c r="K171">
        <f t="shared" si="29"/>
        <v>1.4172472681069988E-5</v>
      </c>
      <c r="L171">
        <f t="shared" si="30"/>
        <v>2.0253627013312769E-4</v>
      </c>
      <c r="M171">
        <f t="shared" si="31"/>
        <v>2.3407123542244985E-4</v>
      </c>
      <c r="N171">
        <f t="shared" si="32"/>
        <v>1.5354698207892714E-4</v>
      </c>
      <c r="O171">
        <f t="shared" si="33"/>
        <v>1.3902571574877473E-4</v>
      </c>
      <c r="P171">
        <f t="shared" si="34"/>
        <v>5.3036175538324462E-5</v>
      </c>
      <c r="Q171">
        <f t="shared" si="35"/>
        <v>1.0677152426438636E-4</v>
      </c>
      <c r="V171">
        <f t="shared" si="36"/>
        <v>169</v>
      </c>
      <c r="W171">
        <f t="shared" si="25"/>
        <v>5.233495352277201E-2</v>
      </c>
      <c r="X171">
        <f t="shared" si="26"/>
        <v>3.2374997983741341E-2</v>
      </c>
      <c r="Y171">
        <f t="shared" si="27"/>
        <v>1.5354698207892713E-2</v>
      </c>
      <c r="Z171">
        <f>100*(P171/$T$5)</f>
        <v>3.4800640117010799E-3</v>
      </c>
      <c r="AA171">
        <f>100*(Q171/$T$6)</f>
        <v>2.0517202971634583E-3</v>
      </c>
    </row>
    <row r="172" spans="1:27" x14ac:dyDescent="0.3">
      <c r="A172">
        <v>4080</v>
      </c>
      <c r="B172">
        <v>2145410.7558712601</v>
      </c>
      <c r="C172">
        <v>30579181.277158599</v>
      </c>
      <c r="D172">
        <v>35165610.605852701</v>
      </c>
      <c r="E172">
        <v>23196361.069362801</v>
      </c>
      <c r="F172">
        <v>18536220.5575292</v>
      </c>
      <c r="G172">
        <v>8032153.4356336799</v>
      </c>
      <c r="H172">
        <v>16139986.893133599</v>
      </c>
      <c r="J172">
        <f t="shared" si="28"/>
        <v>170</v>
      </c>
      <c r="K172">
        <f t="shared" si="29"/>
        <v>1.4340980988444251E-5</v>
      </c>
      <c r="L172">
        <f t="shared" si="30"/>
        <v>2.0440629195961631E-4</v>
      </c>
      <c r="M172">
        <f t="shared" si="31"/>
        <v>2.3506424201773197E-4</v>
      </c>
      <c r="N172">
        <f t="shared" si="32"/>
        <v>1.5505588950108824E-4</v>
      </c>
      <c r="O172">
        <f t="shared" si="33"/>
        <v>1.2390521763054279E-4</v>
      </c>
      <c r="P172">
        <f t="shared" si="34"/>
        <v>5.3690865211455083E-5</v>
      </c>
      <c r="Q172">
        <f t="shared" si="35"/>
        <v>1.0788761292201604E-4</v>
      </c>
      <c r="V172">
        <f t="shared" si="36"/>
        <v>170</v>
      </c>
      <c r="W172">
        <f t="shared" si="25"/>
        <v>5.2818163297058476E-2</v>
      </c>
      <c r="X172">
        <f t="shared" si="26"/>
        <v>3.2512343294292111E-2</v>
      </c>
      <c r="Y172">
        <f t="shared" si="27"/>
        <v>1.5505588950108824E-2</v>
      </c>
      <c r="Z172">
        <f>100*(P172/$T$5)</f>
        <v>3.5230226516702809E-3</v>
      </c>
      <c r="AA172">
        <f>100*(Q172/$T$6)</f>
        <v>2.073167043082553E-3</v>
      </c>
    </row>
    <row r="173" spans="1:27" x14ac:dyDescent="0.3">
      <c r="A173">
        <v>4104</v>
      </c>
      <c r="B173">
        <v>2170768.9738353398</v>
      </c>
      <c r="C173">
        <v>30887430.179530598</v>
      </c>
      <c r="D173">
        <v>35311074.6999318</v>
      </c>
      <c r="E173">
        <v>23418300.2556201</v>
      </c>
      <c r="F173">
        <v>16244796.896963401</v>
      </c>
      <c r="G173">
        <v>8130757.7548665004</v>
      </c>
      <c r="H173">
        <v>16332421.475977199</v>
      </c>
      <c r="J173">
        <f t="shared" si="28"/>
        <v>171</v>
      </c>
      <c r="K173">
        <f t="shared" si="29"/>
        <v>1.4510487793016977E-5</v>
      </c>
      <c r="L173">
        <f t="shared" si="30"/>
        <v>2.0646677927493715E-4</v>
      </c>
      <c r="M173">
        <f t="shared" si="31"/>
        <v>2.3603659558777941E-4</v>
      </c>
      <c r="N173">
        <f t="shared" si="32"/>
        <v>1.565394402113643E-4</v>
      </c>
      <c r="O173">
        <f t="shared" si="33"/>
        <v>1.085882145518944E-4</v>
      </c>
      <c r="P173">
        <f t="shared" si="34"/>
        <v>5.4349984992423133E-5</v>
      </c>
      <c r="Q173">
        <f t="shared" si="35"/>
        <v>1.0917394034744117E-4</v>
      </c>
      <c r="V173">
        <f t="shared" si="36"/>
        <v>171</v>
      </c>
      <c r="W173">
        <f t="shared" si="25"/>
        <v>5.3350588959932083E-2</v>
      </c>
      <c r="X173">
        <f t="shared" si="26"/>
        <v>3.2646832031504758E-2</v>
      </c>
      <c r="Y173">
        <f t="shared" si="27"/>
        <v>1.5653944021136429E-2</v>
      </c>
      <c r="Z173">
        <f>100*(P173/$T$5)</f>
        <v>3.5662719811301266E-3</v>
      </c>
      <c r="AA173">
        <f>100*(Q173/$T$6)</f>
        <v>2.0978850950699687E-3</v>
      </c>
    </row>
    <row r="174" spans="1:27" x14ac:dyDescent="0.3">
      <c r="A174">
        <v>4128</v>
      </c>
      <c r="B174">
        <v>2196276.5728205298</v>
      </c>
      <c r="C174">
        <v>31225354.5869422</v>
      </c>
      <c r="D174">
        <v>35453509.926819697</v>
      </c>
      <c r="E174">
        <v>23635217.474198401</v>
      </c>
      <c r="F174">
        <v>14062154.584422501</v>
      </c>
      <c r="G174">
        <v>8230025.8369929297</v>
      </c>
      <c r="H174">
        <v>16384220.5755718</v>
      </c>
      <c r="J174">
        <f t="shared" si="28"/>
        <v>172</v>
      </c>
      <c r="K174">
        <f t="shared" si="29"/>
        <v>1.468099313382707E-5</v>
      </c>
      <c r="L174">
        <f t="shared" si="30"/>
        <v>2.0872563226565641E-4</v>
      </c>
      <c r="M174">
        <f t="shared" si="31"/>
        <v>2.36988702719383E-4</v>
      </c>
      <c r="N174">
        <f t="shared" si="32"/>
        <v>1.5798942161897328E-4</v>
      </c>
      <c r="O174">
        <f t="shared" si="33"/>
        <v>9.3998359521540783E-5</v>
      </c>
      <c r="P174">
        <f t="shared" si="34"/>
        <v>5.5013541691129211E-5</v>
      </c>
      <c r="Q174">
        <f t="shared" si="35"/>
        <v>1.0952019101318047E-4</v>
      </c>
      <c r="V174">
        <f t="shared" si="36"/>
        <v>172</v>
      </c>
      <c r="W174">
        <f t="shared" si="25"/>
        <v>5.3934271903270388E-2</v>
      </c>
      <c r="X174">
        <f t="shared" si="26"/>
        <v>3.277852043144993E-2</v>
      </c>
      <c r="Y174">
        <f t="shared" si="27"/>
        <v>1.5798942161897329E-2</v>
      </c>
      <c r="Z174">
        <f>100*(P174/$T$5)</f>
        <v>3.6098124469244887E-3</v>
      </c>
      <c r="AA174">
        <f>100*(Q174/$T$6)</f>
        <v>2.1045386436045442E-3</v>
      </c>
    </row>
    <row r="175" spans="1:27" x14ac:dyDescent="0.3">
      <c r="A175">
        <v>4152</v>
      </c>
      <c r="B175">
        <v>2221933.5586639298</v>
      </c>
      <c r="C175">
        <v>31594119.517728701</v>
      </c>
      <c r="D175">
        <v>35592980.051548302</v>
      </c>
      <c r="E175">
        <v>23845835.6087052</v>
      </c>
      <c r="F175">
        <v>12236969.509220799</v>
      </c>
      <c r="G175">
        <v>8329958.8318362599</v>
      </c>
      <c r="H175">
        <v>16451480.0085335</v>
      </c>
      <c r="J175">
        <f t="shared" si="28"/>
        <v>173</v>
      </c>
      <c r="K175">
        <f t="shared" si="29"/>
        <v>1.4852497049892579E-5</v>
      </c>
      <c r="L175">
        <f t="shared" si="30"/>
        <v>2.1119063848749133E-4</v>
      </c>
      <c r="M175">
        <f t="shared" si="31"/>
        <v>2.3792098964938704E-4</v>
      </c>
      <c r="N175">
        <f t="shared" si="32"/>
        <v>1.5939729684963369E-4</v>
      </c>
      <c r="O175">
        <f t="shared" si="33"/>
        <v>8.1797924526877001E-5</v>
      </c>
      <c r="P175">
        <f t="shared" si="34"/>
        <v>5.5681542993557884E-5</v>
      </c>
      <c r="Q175">
        <f t="shared" si="35"/>
        <v>1.0996978615329879E-4</v>
      </c>
      <c r="V175">
        <f t="shared" si="36"/>
        <v>173</v>
      </c>
      <c r="W175">
        <f t="shared" si="25"/>
        <v>5.4571224415372432E-2</v>
      </c>
      <c r="X175">
        <f t="shared" si="26"/>
        <v>3.2907467448048004E-2</v>
      </c>
      <c r="Y175">
        <f t="shared" si="27"/>
        <v>1.593972968496337E-2</v>
      </c>
      <c r="Z175">
        <f>100*(P175/$T$5)</f>
        <v>3.6536445533830631E-3</v>
      </c>
      <c r="AA175">
        <f>100*(Q175/$T$6)</f>
        <v>2.1131780582878323E-3</v>
      </c>
    </row>
    <row r="176" spans="1:27" x14ac:dyDescent="0.3">
      <c r="A176">
        <v>4176</v>
      </c>
      <c r="B176">
        <v>2247739.9371855198</v>
      </c>
      <c r="C176">
        <v>31994862.571905699</v>
      </c>
      <c r="D176">
        <v>35729551.712959498</v>
      </c>
      <c r="E176">
        <v>24048932.326749999</v>
      </c>
      <c r="F176">
        <v>11158650.1489539</v>
      </c>
      <c r="G176">
        <v>8430558.0333823096</v>
      </c>
      <c r="H176">
        <v>16495409.2315193</v>
      </c>
      <c r="J176">
        <f t="shared" si="28"/>
        <v>174</v>
      </c>
      <c r="K176">
        <f t="shared" si="29"/>
        <v>1.5024999580117111E-5</v>
      </c>
      <c r="L176">
        <f t="shared" si="30"/>
        <v>2.1386940221862098E-4</v>
      </c>
      <c r="M176">
        <f t="shared" si="31"/>
        <v>2.3883390182459559E-4</v>
      </c>
      <c r="N176">
        <f t="shared" si="32"/>
        <v>1.607548952322861E-4</v>
      </c>
      <c r="O176">
        <f t="shared" si="33"/>
        <v>7.4589907412793451E-5</v>
      </c>
      <c r="P176">
        <f t="shared" si="34"/>
        <v>5.6353997549346987E-5</v>
      </c>
      <c r="Q176">
        <f t="shared" si="35"/>
        <v>1.1026343069197393E-4</v>
      </c>
      <c r="V176">
        <f t="shared" si="36"/>
        <v>174</v>
      </c>
      <c r="W176">
        <f t="shared" si="25"/>
        <v>5.5263411426000247E-2</v>
      </c>
      <c r="X176">
        <f t="shared" si="26"/>
        <v>3.3033734692198558E-2</v>
      </c>
      <c r="Y176">
        <f t="shared" si="27"/>
        <v>1.6075489523228612E-2</v>
      </c>
      <c r="Z176">
        <f>100*(P176/$T$5)</f>
        <v>3.6977688680673877E-3</v>
      </c>
      <c r="AA176">
        <f>100*(Q176/$T$6)</f>
        <v>2.1188207281317051E-3</v>
      </c>
    </row>
    <row r="177" spans="1:27" x14ac:dyDescent="0.3">
      <c r="A177">
        <v>4200</v>
      </c>
      <c r="B177">
        <v>2273695.71421288</v>
      </c>
      <c r="C177">
        <v>32428681.400775399</v>
      </c>
      <c r="D177">
        <v>35863294.351263002</v>
      </c>
      <c r="E177">
        <v>24243484.452038601</v>
      </c>
      <c r="F177">
        <v>11235230.200076099</v>
      </c>
      <c r="G177">
        <v>8531824.7021514904</v>
      </c>
      <c r="H177">
        <v>16665081.7585703</v>
      </c>
      <c r="J177">
        <f t="shared" si="28"/>
        <v>175</v>
      </c>
      <c r="K177">
        <f t="shared" si="29"/>
        <v>1.519850076345508E-5</v>
      </c>
      <c r="L177">
        <f t="shared" si="30"/>
        <v>2.1676926070037032E-4</v>
      </c>
      <c r="M177">
        <f t="shared" si="31"/>
        <v>2.3972790341753343E-4</v>
      </c>
      <c r="N177">
        <f t="shared" si="32"/>
        <v>1.620553773531992E-4</v>
      </c>
      <c r="O177">
        <f t="shared" si="33"/>
        <v>7.5101806150241313E-5</v>
      </c>
      <c r="P177">
        <f t="shared" si="34"/>
        <v>5.7030913784435097E-5</v>
      </c>
      <c r="Q177">
        <f t="shared" si="35"/>
        <v>1.1139760533803677E-4</v>
      </c>
      <c r="V177">
        <f t="shared" si="36"/>
        <v>175</v>
      </c>
      <c r="W177">
        <f t="shared" si="25"/>
        <v>5.6012728863144783E-2</v>
      </c>
      <c r="X177">
        <f t="shared" si="26"/>
        <v>3.3157386364804073E-2</v>
      </c>
      <c r="Y177">
        <f t="shared" si="27"/>
        <v>1.6205537735319922E-2</v>
      </c>
      <c r="Z177">
        <f>100*(P177/$T$5)</f>
        <v>3.7421859438605703E-3</v>
      </c>
      <c r="AA177">
        <f>100*(Q177/$T$6)</f>
        <v>2.1406150141821054E-3</v>
      </c>
    </row>
    <row r="178" spans="1:27" x14ac:dyDescent="0.3">
      <c r="A178">
        <v>4224</v>
      </c>
      <c r="B178">
        <v>2299800.89556626</v>
      </c>
      <c r="C178">
        <v>32896618.799285799</v>
      </c>
      <c r="D178">
        <v>35994280.136506498</v>
      </c>
      <c r="E178">
        <v>24428827.6878963</v>
      </c>
      <c r="F178">
        <v>12570507.3319437</v>
      </c>
      <c r="G178">
        <v>8633759.9123246502</v>
      </c>
      <c r="H178">
        <v>16783796.643773202</v>
      </c>
      <c r="J178">
        <f t="shared" si="28"/>
        <v>176</v>
      </c>
      <c r="K178">
        <f t="shared" si="29"/>
        <v>1.53730006388119E-5</v>
      </c>
      <c r="L178">
        <f t="shared" si="30"/>
        <v>2.1989718448720455E-4</v>
      </c>
      <c r="M178">
        <f t="shared" si="31"/>
        <v>2.4060347684830546E-4</v>
      </c>
      <c r="N178">
        <f t="shared" si="32"/>
        <v>1.6329430272657953E-4</v>
      </c>
      <c r="O178">
        <f t="shared" si="33"/>
        <v>8.4027455427431146E-5</v>
      </c>
      <c r="P178">
        <f t="shared" si="34"/>
        <v>5.771229887917547E-5</v>
      </c>
      <c r="Q178">
        <f t="shared" si="35"/>
        <v>1.1219115403591713E-4</v>
      </c>
      <c r="V178">
        <f t="shared" si="36"/>
        <v>176</v>
      </c>
      <c r="W178">
        <f t="shared" si="25"/>
        <v>5.6820977903670425E-2</v>
      </c>
      <c r="X178">
        <f t="shared" si="26"/>
        <v>3.3278489190636994E-2</v>
      </c>
      <c r="Y178">
        <f t="shared" si="27"/>
        <v>1.6329430272657954E-2</v>
      </c>
      <c r="Z178">
        <f>100*(P178/$T$5)</f>
        <v>3.7868962519144009E-3</v>
      </c>
      <c r="AA178">
        <f>100*(Q178/$T$6)</f>
        <v>2.1558638362013283E-3</v>
      </c>
    </row>
    <row r="179" spans="1:27" x14ac:dyDescent="0.3">
      <c r="A179">
        <v>4248</v>
      </c>
      <c r="B179">
        <v>2326055.48707576</v>
      </c>
      <c r="C179">
        <v>33399644.922804601</v>
      </c>
      <c r="D179">
        <v>36122583.891296297</v>
      </c>
      <c r="E179">
        <v>24604794.129510898</v>
      </c>
      <c r="F179">
        <v>14879201.647838101</v>
      </c>
      <c r="G179">
        <v>8736364.6318230201</v>
      </c>
      <c r="H179">
        <v>16899696.729465902</v>
      </c>
      <c r="J179">
        <f t="shared" si="28"/>
        <v>177</v>
      </c>
      <c r="K179">
        <f t="shared" si="29"/>
        <v>1.5548499245158822E-5</v>
      </c>
      <c r="L179">
        <f t="shared" si="30"/>
        <v>2.2325965857489708E-4</v>
      </c>
      <c r="M179">
        <f t="shared" si="31"/>
        <v>2.4146112226802337E-4</v>
      </c>
      <c r="N179">
        <f t="shared" si="32"/>
        <v>1.6447054899405681E-4</v>
      </c>
      <c r="O179">
        <f t="shared" si="33"/>
        <v>9.9459904063088915E-5</v>
      </c>
      <c r="P179">
        <f t="shared" si="34"/>
        <v>5.8398159303629816E-5</v>
      </c>
      <c r="Q179">
        <f t="shared" si="35"/>
        <v>1.1296588722905014E-4</v>
      </c>
      <c r="V179">
        <f t="shared" si="36"/>
        <v>177</v>
      </c>
      <c r="W179">
        <f t="shared" si="25"/>
        <v>5.7689834257079339E-2</v>
      </c>
      <c r="X179">
        <f t="shared" si="26"/>
        <v>3.3397112346891196E-2</v>
      </c>
      <c r="Y179">
        <f t="shared" si="27"/>
        <v>1.6447054899405681E-2</v>
      </c>
      <c r="Z179">
        <f>100*(P179/$T$5)</f>
        <v>3.83190021677361E-3</v>
      </c>
      <c r="AA179">
        <f>100*(Q179/$T$6)</f>
        <v>2.170751099712724E-3</v>
      </c>
    </row>
    <row r="180" spans="1:27" x14ac:dyDescent="0.3">
      <c r="A180">
        <v>4272</v>
      </c>
      <c r="B180">
        <v>2352459.4945513802</v>
      </c>
      <c r="C180">
        <v>33938636.029960103</v>
      </c>
      <c r="D180">
        <v>36248283.010090299</v>
      </c>
      <c r="E180">
        <v>24771791.752080798</v>
      </c>
      <c r="F180">
        <v>17771080.765648499</v>
      </c>
      <c r="G180">
        <v>8839639.9085029196</v>
      </c>
      <c r="H180">
        <v>17016284.029206399</v>
      </c>
      <c r="J180">
        <f t="shared" si="28"/>
        <v>178</v>
      </c>
      <c r="K180">
        <f t="shared" si="29"/>
        <v>1.5724996621332757E-5</v>
      </c>
      <c r="L180">
        <f t="shared" si="30"/>
        <v>2.2686254030721993E-4</v>
      </c>
      <c r="M180">
        <f t="shared" si="31"/>
        <v>2.4230135701932019E-4</v>
      </c>
      <c r="N180">
        <f t="shared" si="32"/>
        <v>1.6558684326257219E-4</v>
      </c>
      <c r="O180">
        <f t="shared" si="33"/>
        <v>1.187906468292012E-4</v>
      </c>
      <c r="P180">
        <f t="shared" si="34"/>
        <v>5.908850206218529E-5</v>
      </c>
      <c r="Q180">
        <f t="shared" si="35"/>
        <v>1.1374521409897325E-4</v>
      </c>
      <c r="V180">
        <f t="shared" si="36"/>
        <v>178</v>
      </c>
      <c r="W180">
        <f t="shared" si="25"/>
        <v>5.8620811448894042E-2</v>
      </c>
      <c r="X180">
        <f t="shared" si="26"/>
        <v>3.3513327388564343E-2</v>
      </c>
      <c r="Y180">
        <f t="shared" si="27"/>
        <v>1.655868432625722E-2</v>
      </c>
      <c r="Z180">
        <f>100*(P180/$T$5)</f>
        <v>3.8771982980436541E-3</v>
      </c>
      <c r="AA180">
        <f>100*(Q180/$T$6)</f>
        <v>2.1857266352608238E-3</v>
      </c>
    </row>
    <row r="181" spans="1:27" x14ac:dyDescent="0.3">
      <c r="A181">
        <v>4296</v>
      </c>
      <c r="B181">
        <v>2379012.9238591599</v>
      </c>
      <c r="C181">
        <v>34514349.0617778</v>
      </c>
      <c r="D181">
        <v>36371457.376612499</v>
      </c>
      <c r="E181">
        <v>24930806.967694499</v>
      </c>
      <c r="F181">
        <v>20940026.0904647</v>
      </c>
      <c r="G181">
        <v>8943586.9153078198</v>
      </c>
      <c r="H181">
        <v>17010388.521429799</v>
      </c>
      <c r="J181">
        <f t="shared" si="28"/>
        <v>179</v>
      </c>
      <c r="K181">
        <f t="shared" si="29"/>
        <v>1.5902492806545186E-5</v>
      </c>
      <c r="L181">
        <f t="shared" si="30"/>
        <v>2.3071088945038635E-4</v>
      </c>
      <c r="M181">
        <f t="shared" si="31"/>
        <v>2.4312471508430814E-4</v>
      </c>
      <c r="N181">
        <f t="shared" si="32"/>
        <v>1.6664977919581884E-4</v>
      </c>
      <c r="O181">
        <f t="shared" si="33"/>
        <v>1.3997343643358756E-4</v>
      </c>
      <c r="P181">
        <f t="shared" si="34"/>
        <v>5.978333499537313E-5</v>
      </c>
      <c r="Q181">
        <f t="shared" si="35"/>
        <v>1.1370580562453075E-4</v>
      </c>
      <c r="V181">
        <f t="shared" si="36"/>
        <v>179</v>
      </c>
      <c r="W181">
        <f t="shared" si="25"/>
        <v>5.9615216912244542E-2</v>
      </c>
      <c r="X181">
        <f t="shared" si="26"/>
        <v>3.3627208172103483E-2</v>
      </c>
      <c r="Y181">
        <f t="shared" si="27"/>
        <v>1.6664977919581884E-2</v>
      </c>
      <c r="Z181">
        <f>100*(P181/$T$5)</f>
        <v>3.9227910101950871E-3</v>
      </c>
      <c r="AA181">
        <f>100*(Q181/$T$6)</f>
        <v>2.1849693625005909E-3</v>
      </c>
    </row>
    <row r="182" spans="1:27" x14ac:dyDescent="0.3">
      <c r="A182">
        <v>4320</v>
      </c>
      <c r="B182">
        <v>2405715.78087842</v>
      </c>
      <c r="C182">
        <v>35127391.268189304</v>
      </c>
      <c r="D182">
        <v>36492189.277071401</v>
      </c>
      <c r="E182">
        <v>25083334.644518901</v>
      </c>
      <c r="F182">
        <v>24174487.7661971</v>
      </c>
      <c r="G182">
        <v>9048206.8428535704</v>
      </c>
      <c r="H182">
        <v>17008394.085598901</v>
      </c>
      <c r="J182">
        <f t="shared" si="28"/>
        <v>180</v>
      </c>
      <c r="K182">
        <f t="shared" si="29"/>
        <v>1.608098784009639E-5</v>
      </c>
      <c r="L182">
        <f t="shared" si="30"/>
        <v>2.3480876516169321E-4</v>
      </c>
      <c r="M182">
        <f t="shared" si="31"/>
        <v>2.4393174650448796E-4</v>
      </c>
      <c r="N182">
        <f t="shared" si="32"/>
        <v>1.6766934922806751E-4</v>
      </c>
      <c r="O182">
        <f t="shared" si="33"/>
        <v>1.6159416956014103E-4</v>
      </c>
      <c r="P182">
        <f t="shared" si="34"/>
        <v>6.0482666061855418E-5</v>
      </c>
      <c r="Q182">
        <f t="shared" si="35"/>
        <v>1.1369247383421725E-4</v>
      </c>
      <c r="V182">
        <f t="shared" si="36"/>
        <v>180</v>
      </c>
      <c r="W182">
        <f t="shared" si="25"/>
        <v>6.0674099524985328E-2</v>
      </c>
      <c r="X182">
        <f t="shared" si="26"/>
        <v>3.373883077517123E-2</v>
      </c>
      <c r="Y182">
        <f t="shared" si="27"/>
        <v>1.6766934922806752E-2</v>
      </c>
      <c r="Z182">
        <f>100*(P182/$T$5)</f>
        <v>3.9686788754498305E-3</v>
      </c>
      <c r="AA182">
        <f>100*(Q182/$T$6)</f>
        <v>2.184713178981884E-3</v>
      </c>
    </row>
    <row r="183" spans="1:27" x14ac:dyDescent="0.3">
      <c r="A183">
        <v>4344</v>
      </c>
      <c r="B183">
        <v>2432568.0715304902</v>
      </c>
      <c r="C183">
        <v>35778184.028025098</v>
      </c>
      <c r="D183">
        <v>36610563.310974903</v>
      </c>
      <c r="E183">
        <v>25231256.560119402</v>
      </c>
      <c r="F183">
        <v>27324501.549222</v>
      </c>
      <c r="G183">
        <v>9153500.82550334</v>
      </c>
      <c r="H183">
        <v>16988782.855508801</v>
      </c>
      <c r="J183">
        <f t="shared" si="28"/>
        <v>181</v>
      </c>
      <c r="K183">
        <f t="shared" si="29"/>
        <v>1.6260481761567448E-5</v>
      </c>
      <c r="L183">
        <f t="shared" si="30"/>
        <v>2.391589841445528E-4</v>
      </c>
      <c r="M183">
        <f t="shared" si="31"/>
        <v>2.4472301678459159E-4</v>
      </c>
      <c r="N183">
        <f t="shared" si="32"/>
        <v>1.6865813208635964E-4</v>
      </c>
      <c r="O183">
        <f t="shared" si="33"/>
        <v>1.8265041142528075E-4</v>
      </c>
      <c r="P183">
        <f t="shared" si="34"/>
        <v>6.1186502844273659E-5</v>
      </c>
      <c r="Q183">
        <f t="shared" si="35"/>
        <v>1.1356138272398931E-4</v>
      </c>
      <c r="V183">
        <f t="shared" si="36"/>
        <v>181</v>
      </c>
      <c r="W183">
        <f t="shared" si="25"/>
        <v>6.1798187117455501E-2</v>
      </c>
      <c r="X183">
        <f t="shared" si="26"/>
        <v>3.3848273414189708E-2</v>
      </c>
      <c r="Y183">
        <f t="shared" si="27"/>
        <v>1.6865813208635963E-2</v>
      </c>
      <c r="Z183">
        <f>100*(P183/$T$5)</f>
        <v>4.0148623913565393E-3</v>
      </c>
      <c r="AA183">
        <f>100*(Q183/$T$6)</f>
        <v>2.1821941338199331E-3</v>
      </c>
    </row>
    <row r="184" spans="1:27" x14ac:dyDescent="0.3">
      <c r="A184">
        <v>4368</v>
      </c>
      <c r="B184">
        <v>2459569.8018308901</v>
      </c>
      <c r="C184">
        <v>36466919.945507199</v>
      </c>
      <c r="D184">
        <v>36726666.296953402</v>
      </c>
      <c r="E184">
        <v>25376691.865639199</v>
      </c>
      <c r="F184">
        <v>30277218.993461698</v>
      </c>
      <c r="G184">
        <v>9259469.9896619003</v>
      </c>
      <c r="H184">
        <v>17134546.147652399</v>
      </c>
      <c r="J184">
        <f t="shared" si="28"/>
        <v>182</v>
      </c>
      <c r="K184">
        <f t="shared" si="29"/>
        <v>1.644097461116905E-5</v>
      </c>
      <c r="L184">
        <f t="shared" si="30"/>
        <v>2.4376283386034223E-4</v>
      </c>
      <c r="M184">
        <f t="shared" si="31"/>
        <v>2.4549910626305748E-4</v>
      </c>
      <c r="N184">
        <f t="shared" si="32"/>
        <v>1.6963029321951335E-4</v>
      </c>
      <c r="O184">
        <f t="shared" si="33"/>
        <v>2.0238782749640172E-4</v>
      </c>
      <c r="P184">
        <f t="shared" si="34"/>
        <v>6.1894852872071524E-5</v>
      </c>
      <c r="Q184">
        <f t="shared" si="35"/>
        <v>1.1453573628109893E-4</v>
      </c>
      <c r="V184">
        <f t="shared" si="36"/>
        <v>182</v>
      </c>
      <c r="W184">
        <f t="shared" si="25"/>
        <v>6.2987812367013493E-2</v>
      </c>
      <c r="X184">
        <f t="shared" si="26"/>
        <v>3.3955616357269361E-2</v>
      </c>
      <c r="Y184">
        <f t="shared" si="27"/>
        <v>1.6963029321951335E-2</v>
      </c>
      <c r="Z184">
        <f>100*(P184/$T$5)</f>
        <v>4.0613420519731974E-3</v>
      </c>
      <c r="AA184">
        <f>100*(Q184/$T$6)</f>
        <v>2.200917299790525E-3</v>
      </c>
    </row>
    <row r="185" spans="1:27" x14ac:dyDescent="0.3">
      <c r="A185">
        <v>4392</v>
      </c>
      <c r="B185">
        <v>2486720.9779099198</v>
      </c>
      <c r="C185">
        <v>37193512.332832202</v>
      </c>
      <c r="D185">
        <v>36840587.1777118</v>
      </c>
      <c r="E185">
        <v>25521835.171297401</v>
      </c>
      <c r="F185">
        <v>32944018.027019002</v>
      </c>
      <c r="G185">
        <v>9366115.5147639401</v>
      </c>
      <c r="H185">
        <v>17250564.239601001</v>
      </c>
      <c r="J185">
        <f t="shared" si="28"/>
        <v>183</v>
      </c>
      <c r="K185">
        <f t="shared" si="29"/>
        <v>1.6622466429879144E-5</v>
      </c>
      <c r="L185">
        <f t="shared" si="30"/>
        <v>2.4861973484513505E-4</v>
      </c>
      <c r="M185">
        <f t="shared" si="31"/>
        <v>2.4626060947668314E-4</v>
      </c>
      <c r="N185">
        <f t="shared" si="32"/>
        <v>1.7060050248193451E-4</v>
      </c>
      <c r="O185">
        <f t="shared" si="33"/>
        <v>2.2021402424477943E-4</v>
      </c>
      <c r="P185">
        <f t="shared" si="34"/>
        <v>6.2607724029170716E-5</v>
      </c>
      <c r="Q185">
        <f t="shared" si="35"/>
        <v>1.1531125828610295E-4</v>
      </c>
      <c r="V185">
        <f t="shared" si="36"/>
        <v>183</v>
      </c>
      <c r="W185">
        <f t="shared" si="25"/>
        <v>6.4242825541378556E-2</v>
      </c>
      <c r="X185">
        <f t="shared" si="26"/>
        <v>3.406094183633239E-2</v>
      </c>
      <c r="Y185">
        <f t="shared" si="27"/>
        <v>1.7060050248193452E-2</v>
      </c>
      <c r="Z185">
        <f>100*(P185/$T$5)</f>
        <v>4.1081183746175011E-3</v>
      </c>
      <c r="AA185">
        <f>100*(Q185/$T$6)</f>
        <v>2.2158197211011327E-3</v>
      </c>
    </row>
    <row r="186" spans="1:27" x14ac:dyDescent="0.3">
      <c r="A186">
        <v>4416</v>
      </c>
      <c r="B186">
        <v>2514021.6060571</v>
      </c>
      <c r="C186">
        <v>37957536.2834685</v>
      </c>
      <c r="D186">
        <v>36952416.919053502</v>
      </c>
      <c r="E186">
        <v>25668789.512585498</v>
      </c>
      <c r="F186">
        <v>35254963.342490599</v>
      </c>
      <c r="G186">
        <v>9473438.5761094708</v>
      </c>
      <c r="H186">
        <v>17411811.631362502</v>
      </c>
      <c r="J186">
        <f t="shared" si="28"/>
        <v>184</v>
      </c>
      <c r="K186">
        <f t="shared" si="29"/>
        <v>1.6804957259739975E-5</v>
      </c>
      <c r="L186">
        <f t="shared" si="30"/>
        <v>2.5372684681462901E-4</v>
      </c>
      <c r="M186">
        <f t="shared" si="31"/>
        <v>2.4700813448565173E-4</v>
      </c>
      <c r="N186">
        <f t="shared" si="32"/>
        <v>1.7158281759749663E-4</v>
      </c>
      <c r="O186">
        <f t="shared" si="33"/>
        <v>2.356615196690548E-4</v>
      </c>
      <c r="P186">
        <f t="shared" si="34"/>
        <v>6.3325124171854745E-5</v>
      </c>
      <c r="Q186">
        <f t="shared" si="35"/>
        <v>1.1638911518290442E-4</v>
      </c>
      <c r="V186">
        <f t="shared" si="36"/>
        <v>184</v>
      </c>
      <c r="W186">
        <f t="shared" si="25"/>
        <v>6.5562492716958395E-2</v>
      </c>
      <c r="X186">
        <f t="shared" si="26"/>
        <v>3.4164333953755427E-2</v>
      </c>
      <c r="Y186">
        <f t="shared" si="27"/>
        <v>1.7158281759749663E-2</v>
      </c>
      <c r="Z186">
        <f>100*(P186/$T$5)</f>
        <v>4.1551918747936185E-3</v>
      </c>
      <c r="AA186">
        <f>100*(Q186/$T$6)</f>
        <v>2.2365318059743354E-3</v>
      </c>
    </row>
    <row r="187" spans="1:27" x14ac:dyDescent="0.3">
      <c r="A187">
        <v>4440</v>
      </c>
      <c r="B187">
        <v>2541471.6927642501</v>
      </c>
      <c r="C187">
        <v>38758160.780512601</v>
      </c>
      <c r="D187">
        <v>37062248.411165699</v>
      </c>
      <c r="E187">
        <v>25819401.157567099</v>
      </c>
      <c r="F187">
        <v>37157398.094325103</v>
      </c>
      <c r="G187">
        <v>9581440.23919826</v>
      </c>
      <c r="H187">
        <v>17582557.384716298</v>
      </c>
      <c r="J187">
        <f t="shared" si="28"/>
        <v>185</v>
      </c>
      <c r="K187">
        <f t="shared" si="29"/>
        <v>1.6988447144146058E-5</v>
      </c>
      <c r="L187">
        <f t="shared" si="30"/>
        <v>2.5907861484299866E-4</v>
      </c>
      <c r="M187">
        <f t="shared" si="31"/>
        <v>2.4774230221367446E-4</v>
      </c>
      <c r="N187">
        <f t="shared" si="32"/>
        <v>1.7258957993026135E-4</v>
      </c>
      <c r="O187">
        <f t="shared" si="33"/>
        <v>2.4837832950752071E-4</v>
      </c>
      <c r="P187">
        <f t="shared" si="34"/>
        <v>6.4047060422448259E-5</v>
      </c>
      <c r="Q187">
        <f t="shared" si="35"/>
        <v>1.1753046380157953E-4</v>
      </c>
      <c r="V187">
        <f t="shared" si="36"/>
        <v>185</v>
      </c>
      <c r="W187">
        <f t="shared" si="25"/>
        <v>6.6945378512402745E-2</v>
      </c>
      <c r="X187">
        <f t="shared" si="26"/>
        <v>3.4265878591102972E-2</v>
      </c>
      <c r="Y187">
        <f t="shared" si="27"/>
        <v>1.7258957993026135E-2</v>
      </c>
      <c r="Z187">
        <f>100*(P187/$T$5)</f>
        <v>4.2025630198456862E-3</v>
      </c>
      <c r="AA187">
        <f>100*(Q187/$T$6)</f>
        <v>2.2584639469942261E-3</v>
      </c>
    </row>
    <row r="188" spans="1:27" x14ac:dyDescent="0.3">
      <c r="A188">
        <v>4464</v>
      </c>
      <c r="B188">
        <v>2569071.2448124099</v>
      </c>
      <c r="C188">
        <v>39594071.715906702</v>
      </c>
      <c r="D188">
        <v>37170176.359010197</v>
      </c>
      <c r="E188">
        <v>25975111.673387598</v>
      </c>
      <c r="F188">
        <v>38616432.1277458</v>
      </c>
      <c r="G188">
        <v>9690121.4832958896</v>
      </c>
      <c r="H188">
        <v>17668263.150652099</v>
      </c>
      <c r="J188">
        <f t="shared" si="28"/>
        <v>186</v>
      </c>
      <c r="K188">
        <f t="shared" si="29"/>
        <v>1.7172936128425199E-5</v>
      </c>
      <c r="L188">
        <f t="shared" si="30"/>
        <v>2.646662547854726E-4</v>
      </c>
      <c r="M188">
        <f t="shared" si="31"/>
        <v>2.4846374571530882E-4</v>
      </c>
      <c r="N188">
        <f t="shared" si="32"/>
        <v>1.7363042562424866E-4</v>
      </c>
      <c r="O188">
        <f t="shared" si="33"/>
        <v>2.5813123080043983E-4</v>
      </c>
      <c r="P188">
        <f t="shared" si="34"/>
        <v>6.4773539326844182E-5</v>
      </c>
      <c r="Q188">
        <f t="shared" si="35"/>
        <v>1.1810336330649799E-4</v>
      </c>
      <c r="V188">
        <f t="shared" si="36"/>
        <v>186</v>
      </c>
      <c r="W188">
        <f t="shared" si="25"/>
        <v>6.8389213122861142E-2</v>
      </c>
      <c r="X188">
        <f t="shared" si="26"/>
        <v>3.4365663307788216E-2</v>
      </c>
      <c r="Y188">
        <f t="shared" si="27"/>
        <v>1.7363042562424866E-2</v>
      </c>
      <c r="Z188">
        <f>100*(P188/$T$5)</f>
        <v>4.2502322392942377E-3</v>
      </c>
      <c r="AA188">
        <f>100*(Q188/$T$6)</f>
        <v>2.2694727768350883E-3</v>
      </c>
    </row>
    <row r="189" spans="1:27" x14ac:dyDescent="0.3">
      <c r="A189">
        <v>4488</v>
      </c>
      <c r="B189">
        <v>2596820.2693630299</v>
      </c>
      <c r="C189">
        <v>40463386.379519999</v>
      </c>
      <c r="D189">
        <v>37276297.179284498</v>
      </c>
      <c r="E189">
        <v>26136852.1367006</v>
      </c>
      <c r="F189">
        <v>39615539.248036101</v>
      </c>
      <c r="G189">
        <v>9799483.3654037099</v>
      </c>
      <c r="H189">
        <v>17741532.504866399</v>
      </c>
      <c r="J189">
        <f t="shared" si="28"/>
        <v>187</v>
      </c>
      <c r="K189">
        <f t="shared" si="29"/>
        <v>1.7358424260448061E-5</v>
      </c>
      <c r="L189">
        <f t="shared" si="30"/>
        <v>2.7047718168128344E-4</v>
      </c>
      <c r="M189">
        <f t="shared" si="31"/>
        <v>2.4917310948719583E-4</v>
      </c>
      <c r="N189">
        <f t="shared" si="32"/>
        <v>1.7471157845388101E-4</v>
      </c>
      <c r="O189">
        <f t="shared" si="33"/>
        <v>2.6480975433179214E-4</v>
      </c>
      <c r="P189">
        <f t="shared" si="34"/>
        <v>6.5504567950559563E-5</v>
      </c>
      <c r="Q189">
        <f t="shared" si="35"/>
        <v>1.1859313171702139E-4</v>
      </c>
      <c r="V189">
        <f t="shared" si="36"/>
        <v>187</v>
      </c>
      <c r="W189">
        <f t="shared" si="25"/>
        <v>6.9890744620486681E-2</v>
      </c>
      <c r="X189">
        <f t="shared" si="26"/>
        <v>3.4463777245808555E-2</v>
      </c>
      <c r="Y189">
        <f t="shared" si="27"/>
        <v>1.7471157845388101E-2</v>
      </c>
      <c r="Z189">
        <f>100*(P189/$T$5)</f>
        <v>4.2981999967558766E-3</v>
      </c>
      <c r="AA189">
        <f>100*(Q189/$T$6)</f>
        <v>2.2788841605884203E-3</v>
      </c>
    </row>
    <row r="190" spans="1:27" x14ac:dyDescent="0.3">
      <c r="A190">
        <v>4512</v>
      </c>
      <c r="B190">
        <v>2624718.7740580901</v>
      </c>
      <c r="C190">
        <v>41363561.005341999</v>
      </c>
      <c r="D190">
        <v>37380708.8858229</v>
      </c>
      <c r="E190">
        <v>26305004.250496101</v>
      </c>
      <c r="F190">
        <v>40155916.741905898</v>
      </c>
      <c r="G190">
        <v>9909527.1180523708</v>
      </c>
      <c r="H190">
        <v>17783659.068151198</v>
      </c>
      <c r="J190">
        <f t="shared" si="28"/>
        <v>188</v>
      </c>
      <c r="K190">
        <f t="shared" si="29"/>
        <v>1.7544911591297392E-5</v>
      </c>
      <c r="L190">
        <f t="shared" si="30"/>
        <v>2.764943917469385E-4</v>
      </c>
      <c r="M190">
        <f t="shared" si="31"/>
        <v>2.4987104870202471E-4</v>
      </c>
      <c r="N190">
        <f t="shared" si="32"/>
        <v>1.7583558990973328E-4</v>
      </c>
      <c r="O190">
        <f t="shared" si="33"/>
        <v>2.6842190335498595E-4</v>
      </c>
      <c r="P190">
        <f t="shared" si="34"/>
        <v>6.6240154532435638E-5</v>
      </c>
      <c r="Q190">
        <f t="shared" si="35"/>
        <v>1.1887472639138502E-4</v>
      </c>
      <c r="V190">
        <f t="shared" si="36"/>
        <v>188</v>
      </c>
      <c r="W190">
        <f t="shared" si="25"/>
        <v>7.1445579262774811E-2</v>
      </c>
      <c r="X190">
        <f t="shared" si="26"/>
        <v>3.4560311023793186E-2</v>
      </c>
      <c r="Y190">
        <f t="shared" si="27"/>
        <v>1.7583558990973327E-2</v>
      </c>
      <c r="Z190">
        <f>100*(P190/$T$5)</f>
        <v>4.3464668328369845E-3</v>
      </c>
      <c r="AA190">
        <f>100*(Q190/$T$6)</f>
        <v>2.2842952803878752E-3</v>
      </c>
    </row>
    <row r="191" spans="1:27" x14ac:dyDescent="0.3">
      <c r="A191">
        <v>4536</v>
      </c>
      <c r="B191">
        <v>2652766.7671297099</v>
      </c>
      <c r="C191">
        <v>42291294.371784002</v>
      </c>
      <c r="D191">
        <v>37483510.979388602</v>
      </c>
      <c r="E191">
        <v>26479438.625622701</v>
      </c>
      <c r="F191">
        <v>40253966.435308397</v>
      </c>
      <c r="G191">
        <v>10020254.044072701</v>
      </c>
      <c r="H191">
        <v>17980937.0710545</v>
      </c>
      <c r="J191">
        <f t="shared" si="28"/>
        <v>189</v>
      </c>
      <c r="K191">
        <f t="shared" si="29"/>
        <v>1.7732398176000735E-5</v>
      </c>
      <c r="L191">
        <f t="shared" si="30"/>
        <v>2.8269581799320856E-4</v>
      </c>
      <c r="M191">
        <f t="shared" si="31"/>
        <v>2.5055822847184892E-4</v>
      </c>
      <c r="N191">
        <f t="shared" si="32"/>
        <v>1.7700159509106083E-4</v>
      </c>
      <c r="O191">
        <f t="shared" si="33"/>
        <v>2.6907731574404007E-4</v>
      </c>
      <c r="P191">
        <f t="shared" si="34"/>
        <v>6.6980307781234634E-5</v>
      </c>
      <c r="Q191">
        <f t="shared" si="35"/>
        <v>1.2019342961934825E-4</v>
      </c>
      <c r="V191">
        <f t="shared" si="36"/>
        <v>189</v>
      </c>
      <c r="W191">
        <f t="shared" si="25"/>
        <v>7.3048014985325205E-2</v>
      </c>
      <c r="X191">
        <f t="shared" si="26"/>
        <v>3.4655356635110504E-2</v>
      </c>
      <c r="Y191">
        <f t="shared" si="27"/>
        <v>1.7700159509106084E-2</v>
      </c>
      <c r="Z191">
        <f>100*(P191/$T$5)</f>
        <v>4.3950333189786504E-3</v>
      </c>
      <c r="AA191">
        <f>100*(Q191/$T$6)</f>
        <v>2.3096354653986983E-3</v>
      </c>
    </row>
    <row r="192" spans="1:27" x14ac:dyDescent="0.3">
      <c r="A192">
        <v>4560</v>
      </c>
      <c r="B192">
        <v>2680964.2575182002</v>
      </c>
      <c r="C192">
        <v>43242432.304756403</v>
      </c>
      <c r="D192">
        <v>37584804.326749198</v>
      </c>
      <c r="E192">
        <v>26659617.5743322</v>
      </c>
      <c r="F192">
        <v>39937098.247734897</v>
      </c>
      <c r="G192">
        <v>10131665.323922001</v>
      </c>
      <c r="H192">
        <v>18120821.289622501</v>
      </c>
      <c r="J192">
        <f t="shared" si="28"/>
        <v>190</v>
      </c>
      <c r="K192">
        <f t="shared" si="29"/>
        <v>1.7920884074319521E-5</v>
      </c>
      <c r="L192">
        <f t="shared" si="30"/>
        <v>2.8905369187671391E-4</v>
      </c>
      <c r="M192">
        <f t="shared" si="31"/>
        <v>2.5123532303976734E-4</v>
      </c>
      <c r="N192">
        <f t="shared" si="32"/>
        <v>1.7820599982842379E-4</v>
      </c>
      <c r="O192">
        <f t="shared" si="33"/>
        <v>2.6695921288592844E-4</v>
      </c>
      <c r="P192">
        <f t="shared" si="34"/>
        <v>6.7725035587713907E-5</v>
      </c>
      <c r="Q192">
        <f t="shared" si="35"/>
        <v>1.2112848455630014E-4</v>
      </c>
      <c r="V192">
        <f t="shared" si="36"/>
        <v>190</v>
      </c>
      <c r="W192">
        <f t="shared" si="25"/>
        <v>7.4690876453931243E-2</v>
      </c>
      <c r="X192">
        <f t="shared" si="26"/>
        <v>3.4749007336067408E-2</v>
      </c>
      <c r="Y192">
        <f t="shared" si="27"/>
        <v>1.782059998284238E-2</v>
      </c>
      <c r="Z192">
        <f>100*(P192/$T$5)</f>
        <v>4.4438999729471068E-3</v>
      </c>
      <c r="AA192">
        <f>100*(Q192/$T$6)</f>
        <v>2.3276034695676432E-3</v>
      </c>
    </row>
    <row r="193" spans="1:27" x14ac:dyDescent="0.3">
      <c r="A193">
        <v>4584</v>
      </c>
      <c r="B193">
        <v>2709311.2550424398</v>
      </c>
      <c r="C193">
        <v>44211880.1934762</v>
      </c>
      <c r="D193">
        <v>37684691.047602199</v>
      </c>
      <c r="E193">
        <v>26844731.145666</v>
      </c>
      <c r="F193">
        <v>39238698.159078099</v>
      </c>
      <c r="G193">
        <v>10243761.978625899</v>
      </c>
      <c r="H193">
        <v>18295807.027428001</v>
      </c>
      <c r="J193">
        <f t="shared" si="28"/>
        <v>191</v>
      </c>
      <c r="K193">
        <f t="shared" si="29"/>
        <v>1.8110369351887966E-5</v>
      </c>
      <c r="L193">
        <f t="shared" si="30"/>
        <v>2.9553395851254142E-4</v>
      </c>
      <c r="M193">
        <f t="shared" si="31"/>
        <v>2.5190301502407887E-4</v>
      </c>
      <c r="N193">
        <f t="shared" si="32"/>
        <v>1.7944339001113637E-4</v>
      </c>
      <c r="O193">
        <f t="shared" si="33"/>
        <v>2.6229076309544185E-4</v>
      </c>
      <c r="P193">
        <f t="shared" si="34"/>
        <v>6.8474344776911091E-5</v>
      </c>
      <c r="Q193">
        <f t="shared" si="35"/>
        <v>1.2229817531703209E-4</v>
      </c>
      <c r="V193">
        <f t="shared" si="36"/>
        <v>191</v>
      </c>
      <c r="W193">
        <f t="shared" si="25"/>
        <v>7.6365363956729049E-2</v>
      </c>
      <c r="X193">
        <f t="shared" si="26"/>
        <v>3.4841357541366372E-2</v>
      </c>
      <c r="Y193">
        <f t="shared" si="27"/>
        <v>1.7944339001113637E-2</v>
      </c>
      <c r="Z193">
        <f>100*(P193/$T$5)</f>
        <v>4.4930672425794677E-3</v>
      </c>
      <c r="AA193">
        <f>100*(Q193/$T$6)</f>
        <v>2.3500802328407398E-3</v>
      </c>
    </row>
    <row r="194" spans="1:27" x14ac:dyDescent="0.3">
      <c r="A194">
        <v>4608</v>
      </c>
      <c r="B194">
        <v>2737807.7705416</v>
      </c>
      <c r="C194">
        <v>45193533.164145403</v>
      </c>
      <c r="D194">
        <v>37783274.388861299</v>
      </c>
      <c r="E194">
        <v>27033830.166784201</v>
      </c>
      <c r="F194">
        <v>38193307.235748</v>
      </c>
      <c r="G194">
        <v>10356545.023364499</v>
      </c>
      <c r="H194">
        <v>18437167.8898453</v>
      </c>
      <c r="J194">
        <f t="shared" si="28"/>
        <v>192</v>
      </c>
      <c r="K194">
        <f t="shared" si="29"/>
        <v>1.8300854081160427E-5</v>
      </c>
      <c r="L194">
        <f t="shared" si="30"/>
        <v>3.0209580992075806E-4</v>
      </c>
      <c r="M194">
        <f t="shared" si="31"/>
        <v>2.5256199457794983E-4</v>
      </c>
      <c r="N194">
        <f t="shared" si="32"/>
        <v>1.8070742090096391E-4</v>
      </c>
      <c r="O194">
        <f t="shared" si="33"/>
        <v>2.5530285585393048E-4</v>
      </c>
      <c r="P194">
        <f t="shared" si="34"/>
        <v>6.9228242134789428E-5</v>
      </c>
      <c r="Q194">
        <f t="shared" si="35"/>
        <v>1.2324310086794988E-4</v>
      </c>
      <c r="V194">
        <f t="shared" si="36"/>
        <v>192</v>
      </c>
      <c r="W194">
        <f t="shared" ref="W194:W257" si="37">(L194/$T$2)*100</f>
        <v>7.8060932796061508E-2</v>
      </c>
      <c r="X194">
        <f t="shared" ref="X194:X257" si="38">100*(M194/$T$3)</f>
        <v>3.4932502707876879E-2</v>
      </c>
      <c r="Y194">
        <f t="shared" ref="Y194:Y257" si="39">100*(N194/$T$4)</f>
        <v>1.8070742090096389E-2</v>
      </c>
      <c r="Z194">
        <f>100*(P194/$T$5)</f>
        <v>4.5425355731489123E-3</v>
      </c>
      <c r="AA194">
        <f>100*(Q194/$T$6)</f>
        <v>2.3682379106062623E-3</v>
      </c>
    </row>
    <row r="195" spans="1:27" x14ac:dyDescent="0.3">
      <c r="A195">
        <v>4632</v>
      </c>
      <c r="B195">
        <v>2766453.8160184501</v>
      </c>
      <c r="C195">
        <v>46180236.099241398</v>
      </c>
      <c r="D195">
        <v>37880658.605202504</v>
      </c>
      <c r="E195">
        <v>27225928.508263402</v>
      </c>
      <c r="F195">
        <v>36832861.395254597</v>
      </c>
      <c r="G195">
        <v>10470015.5808814</v>
      </c>
      <c r="H195">
        <v>18496254.710623398</v>
      </c>
      <c r="J195">
        <f t="shared" ref="J195:J258" si="40">A195/24</f>
        <v>193</v>
      </c>
      <c r="K195">
        <f t="shared" ref="K195:K258" si="41">B195/149600000000</f>
        <v>1.8492338342369318E-5</v>
      </c>
      <c r="L195">
        <f t="shared" ref="L195:L258" si="42">C195/149600000000</f>
        <v>3.0869141777567781E-4</v>
      </c>
      <c r="M195">
        <f t="shared" ref="M195:M258" si="43">D195/149600000000</f>
        <v>2.5321295859092582E-4</v>
      </c>
      <c r="N195">
        <f t="shared" ref="N195:N258" si="44">E195/149600000000</f>
        <v>1.8199150072368585E-4</v>
      </c>
      <c r="O195">
        <f t="shared" ref="O195:O258" si="45">F195/149600000000</f>
        <v>2.4620896654581949E-4</v>
      </c>
      <c r="P195">
        <f t="shared" ref="P195:P258" si="46">G195/149600000000</f>
        <v>6.9986735166319521E-5</v>
      </c>
      <c r="Q195">
        <f t="shared" ref="Q195:Q258" si="47">H195/149600000000</f>
        <v>1.2363806624748262E-4</v>
      </c>
      <c r="V195">
        <f t="shared" ref="V195:V258" si="48">J195</f>
        <v>193</v>
      </c>
      <c r="W195">
        <f t="shared" si="37"/>
        <v>7.9765224231441292E-2</v>
      </c>
      <c r="X195">
        <f t="shared" si="38"/>
        <v>3.5022539224194446E-2</v>
      </c>
      <c r="Y195">
        <f t="shared" si="39"/>
        <v>1.8199150072368584E-2</v>
      </c>
      <c r="Z195">
        <f>100*(P195/$T$5)</f>
        <v>4.5923054571075797E-3</v>
      </c>
      <c r="AA195">
        <f>100*(Q195/$T$6)</f>
        <v>2.3758275604819877E-3</v>
      </c>
    </row>
    <row r="196" spans="1:27" x14ac:dyDescent="0.3">
      <c r="A196">
        <v>4656</v>
      </c>
      <c r="B196">
        <v>2795249.4045182099</v>
      </c>
      <c r="C196">
        <v>47163787.732720301</v>
      </c>
      <c r="D196">
        <v>37976948.831139199</v>
      </c>
      <c r="E196">
        <v>27420061.276062399</v>
      </c>
      <c r="F196">
        <v>35184475.719275303</v>
      </c>
      <c r="G196">
        <v>10584174.8289875</v>
      </c>
      <c r="H196">
        <v>18499274.843872599</v>
      </c>
      <c r="J196">
        <f t="shared" si="40"/>
        <v>194</v>
      </c>
      <c r="K196">
        <f t="shared" si="41"/>
        <v>1.8684822222715307E-5</v>
      </c>
      <c r="L196">
        <f t="shared" si="42"/>
        <v>3.1526596078021592E-4</v>
      </c>
      <c r="M196">
        <f t="shared" si="43"/>
        <v>2.5385660983381816E-4</v>
      </c>
      <c r="N196">
        <f t="shared" si="44"/>
        <v>1.8328917965282351E-4</v>
      </c>
      <c r="O196">
        <f t="shared" si="45"/>
        <v>2.3519034571708092E-4</v>
      </c>
      <c r="P196">
        <f t="shared" si="46"/>
        <v>7.0749831744568845E-5</v>
      </c>
      <c r="Q196">
        <f t="shared" si="47"/>
        <v>1.2365825430396123E-4</v>
      </c>
      <c r="V196">
        <f t="shared" si="48"/>
        <v>194</v>
      </c>
      <c r="W196">
        <f t="shared" si="37"/>
        <v>8.1464072553027372E-2</v>
      </c>
      <c r="X196">
        <f t="shared" si="38"/>
        <v>3.5111564292367656E-2</v>
      </c>
      <c r="Y196">
        <f t="shared" si="39"/>
        <v>1.8328917965282351E-2</v>
      </c>
      <c r="Z196">
        <f>100*(P196/$T$5)</f>
        <v>4.6423774110609479E-3</v>
      </c>
      <c r="AA196">
        <f>100*(Q196/$T$6)</f>
        <v>2.3762154939270031E-3</v>
      </c>
    </row>
    <row r="197" spans="1:27" x14ac:dyDescent="0.3">
      <c r="A197">
        <v>4680</v>
      </c>
      <c r="B197">
        <v>2824194.5507847499</v>
      </c>
      <c r="C197">
        <v>48135003.933546796</v>
      </c>
      <c r="D197">
        <v>38072250.954517402</v>
      </c>
      <c r="E197">
        <v>27615298.488847699</v>
      </c>
      <c r="F197">
        <v>33269968.8436598</v>
      </c>
      <c r="G197">
        <v>10699023.9011933</v>
      </c>
      <c r="H197">
        <v>18457258.429520499</v>
      </c>
      <c r="J197">
        <f t="shared" si="40"/>
        <v>195</v>
      </c>
      <c r="K197">
        <f t="shared" si="41"/>
        <v>1.8878305820753674E-5</v>
      </c>
      <c r="L197">
        <f t="shared" si="42"/>
        <v>3.2175804768413632E-4</v>
      </c>
      <c r="M197">
        <f t="shared" si="43"/>
        <v>2.5449365611308422E-4</v>
      </c>
      <c r="N197">
        <f t="shared" si="44"/>
        <v>1.8459424123561295E-4</v>
      </c>
      <c r="O197">
        <f t="shared" si="45"/>
        <v>2.2239283986403609E-4</v>
      </c>
      <c r="P197">
        <f t="shared" si="46"/>
        <v>7.151753944647928E-5</v>
      </c>
      <c r="Q197">
        <f t="shared" si="47"/>
        <v>1.2337739591925466E-4</v>
      </c>
      <c r="V197">
        <f t="shared" si="48"/>
        <v>195</v>
      </c>
      <c r="W197">
        <f t="shared" si="37"/>
        <v>8.3141614388665713E-2</v>
      </c>
      <c r="X197">
        <f t="shared" si="38"/>
        <v>3.5199675810938344E-2</v>
      </c>
      <c r="Y197">
        <f t="shared" si="39"/>
        <v>1.8459424123561295E-2</v>
      </c>
      <c r="Z197">
        <f>100*(P197/$T$5)</f>
        <v>4.6927519321836794E-3</v>
      </c>
      <c r="AA197">
        <f>100*(Q197/$T$6)</f>
        <v>2.3708185226605435E-3</v>
      </c>
    </row>
    <row r="198" spans="1:27" x14ac:dyDescent="0.3">
      <c r="A198">
        <v>4704</v>
      </c>
      <c r="B198">
        <v>2853289.2705413299</v>
      </c>
      <c r="C198">
        <v>49083854.133878097</v>
      </c>
      <c r="D198">
        <v>38166671.487599</v>
      </c>
      <c r="E198">
        <v>27810721.535920601</v>
      </c>
      <c r="F198">
        <v>31107258.113825101</v>
      </c>
      <c r="G198">
        <v>10814563.9187389</v>
      </c>
      <c r="H198">
        <v>18570935.464795399</v>
      </c>
      <c r="J198">
        <f t="shared" si="40"/>
        <v>196</v>
      </c>
      <c r="K198">
        <f t="shared" si="41"/>
        <v>1.9072789241586429E-5</v>
      </c>
      <c r="L198">
        <f t="shared" si="42"/>
        <v>3.2810062923715306E-4</v>
      </c>
      <c r="M198">
        <f t="shared" si="43"/>
        <v>2.5512480940908421E-4</v>
      </c>
      <c r="N198">
        <f t="shared" si="44"/>
        <v>1.8590054502620724E-4</v>
      </c>
      <c r="O198">
        <f t="shared" si="45"/>
        <v>2.0793621733840309E-4</v>
      </c>
      <c r="P198">
        <f t="shared" si="46"/>
        <v>7.2289865766971256E-5</v>
      </c>
      <c r="Q198">
        <f t="shared" si="47"/>
        <v>1.2413726914970187E-4</v>
      </c>
      <c r="V198">
        <f t="shared" si="48"/>
        <v>196</v>
      </c>
      <c r="W198">
        <f t="shared" si="37"/>
        <v>8.4780524350685532E-2</v>
      </c>
      <c r="X198">
        <f t="shared" si="38"/>
        <v>3.5286972255751621E-2</v>
      </c>
      <c r="Y198">
        <f t="shared" si="39"/>
        <v>1.8590054502620725E-2</v>
      </c>
      <c r="Z198">
        <f>100*(P198/$T$5)</f>
        <v>4.7434295122684555E-3</v>
      </c>
      <c r="AA198">
        <f>100*(Q198/$T$6)</f>
        <v>2.3854202373117194E-3</v>
      </c>
    </row>
    <row r="199" spans="1:27" x14ac:dyDescent="0.3">
      <c r="A199">
        <v>4728</v>
      </c>
      <c r="B199">
        <v>2882533.5806914</v>
      </c>
      <c r="C199">
        <v>49999680.887930401</v>
      </c>
      <c r="D199">
        <v>38260317.435578302</v>
      </c>
      <c r="E199">
        <v>28005372.9716313</v>
      </c>
      <c r="F199">
        <v>28713971.1066879</v>
      </c>
      <c r="G199">
        <v>10930796.0755099</v>
      </c>
      <c r="H199">
        <v>18641748.1955995</v>
      </c>
      <c r="J199">
        <f t="shared" si="40"/>
        <v>197</v>
      </c>
      <c r="K199">
        <f t="shared" si="41"/>
        <v>1.9268272598204544E-5</v>
      </c>
      <c r="L199">
        <f t="shared" si="42"/>
        <v>3.3422246582841177E-4</v>
      </c>
      <c r="M199">
        <f t="shared" si="43"/>
        <v>2.5575078499718115E-4</v>
      </c>
      <c r="N199">
        <f t="shared" si="44"/>
        <v>1.8720169098684024E-4</v>
      </c>
      <c r="O199">
        <f t="shared" si="45"/>
        <v>1.9193830953668383E-4</v>
      </c>
      <c r="P199">
        <f t="shared" si="46"/>
        <v>7.306681868656351E-5</v>
      </c>
      <c r="Q199">
        <f t="shared" si="47"/>
        <v>1.2461061628074531E-4</v>
      </c>
      <c r="V199">
        <f t="shared" si="48"/>
        <v>197</v>
      </c>
      <c r="W199">
        <f t="shared" si="37"/>
        <v>8.636239427090743E-2</v>
      </c>
      <c r="X199">
        <f t="shared" si="38"/>
        <v>3.5373552558392966E-2</v>
      </c>
      <c r="Y199">
        <f t="shared" si="39"/>
        <v>1.8720169098684025E-2</v>
      </c>
      <c r="Z199">
        <f>100*(P199/$T$5)</f>
        <v>4.794410674971359E-3</v>
      </c>
      <c r="AA199">
        <f>100*(Q199/$T$6)</f>
        <v>2.3945160699605172E-3</v>
      </c>
    </row>
    <row r="200" spans="1:27" x14ac:dyDescent="0.3">
      <c r="A200">
        <v>4752</v>
      </c>
      <c r="B200">
        <v>2911927.4993093498</v>
      </c>
      <c r="C200">
        <v>50871505.210023597</v>
      </c>
      <c r="D200">
        <v>38353296.163842</v>
      </c>
      <c r="E200">
        <v>28198191.792028598</v>
      </c>
      <c r="F200">
        <v>26114172.149888299</v>
      </c>
      <c r="G200">
        <v>11047721.605222801</v>
      </c>
      <c r="H200">
        <v>18784433.478169899</v>
      </c>
      <c r="J200">
        <f t="shared" si="40"/>
        <v>198</v>
      </c>
      <c r="K200">
        <f t="shared" si="41"/>
        <v>1.9464756011426136E-5</v>
      </c>
      <c r="L200">
        <f t="shared" si="42"/>
        <v>3.400501685162005E-4</v>
      </c>
      <c r="M200">
        <f t="shared" si="43"/>
        <v>2.5637230056044116E-4</v>
      </c>
      <c r="N200">
        <f t="shared" si="44"/>
        <v>1.8849058684511095E-4</v>
      </c>
      <c r="O200">
        <f t="shared" si="45"/>
        <v>1.7455997426395922E-4</v>
      </c>
      <c r="P200">
        <f t="shared" si="46"/>
        <v>7.3848406452024071E-5</v>
      </c>
      <c r="Q200">
        <f t="shared" si="47"/>
        <v>1.255643949075528E-4</v>
      </c>
      <c r="V200">
        <f t="shared" si="48"/>
        <v>198</v>
      </c>
      <c r="W200">
        <f t="shared" si="37"/>
        <v>8.7868260598501419E-2</v>
      </c>
      <c r="X200">
        <f t="shared" si="38"/>
        <v>3.5459515983463509E-2</v>
      </c>
      <c r="Y200">
        <f t="shared" si="39"/>
        <v>1.8849058684511096E-2</v>
      </c>
      <c r="Z200">
        <f>100*(P200/$T$5)</f>
        <v>4.8456959614189016E-3</v>
      </c>
      <c r="AA200">
        <f>100*(Q200/$T$6)</f>
        <v>2.4128438683234592E-3</v>
      </c>
    </row>
    <row r="201" spans="1:27" x14ac:dyDescent="0.3">
      <c r="A201">
        <v>4776</v>
      </c>
      <c r="B201">
        <v>2941471.0451509901</v>
      </c>
      <c r="C201">
        <v>51688409.760570303</v>
      </c>
      <c r="D201">
        <v>38445715.265394904</v>
      </c>
      <c r="E201">
        <v>28387948.9816011</v>
      </c>
      <c r="F201">
        <v>23350174.619672202</v>
      </c>
      <c r="G201">
        <v>11165341.653354401</v>
      </c>
      <c r="H201">
        <v>18906807.730564199</v>
      </c>
      <c r="J201">
        <f t="shared" si="40"/>
        <v>199</v>
      </c>
      <c r="K201">
        <f t="shared" si="41"/>
        <v>1.9662239606624264E-5</v>
      </c>
      <c r="L201">
        <f t="shared" si="42"/>
        <v>3.4551076043161968E-4</v>
      </c>
      <c r="M201">
        <f t="shared" si="43"/>
        <v>2.5699007530344189E-4</v>
      </c>
      <c r="N201">
        <f t="shared" si="44"/>
        <v>1.8975901725669185E-4</v>
      </c>
      <c r="O201">
        <f t="shared" si="45"/>
        <v>1.560840549443329E-4</v>
      </c>
      <c r="P201">
        <f t="shared" si="46"/>
        <v>7.4634636720283422E-5</v>
      </c>
      <c r="Q201">
        <f t="shared" si="47"/>
        <v>1.2638240461607084E-4</v>
      </c>
      <c r="V201">
        <f t="shared" si="48"/>
        <v>199</v>
      </c>
      <c r="W201">
        <f t="shared" si="37"/>
        <v>8.9279266261400439E-2</v>
      </c>
      <c r="X201">
        <f t="shared" si="38"/>
        <v>3.5544962006008561E-2</v>
      </c>
      <c r="Y201">
        <f t="shared" si="39"/>
        <v>1.8975901725669184E-2</v>
      </c>
      <c r="Z201">
        <f>100*(P201/$T$5)</f>
        <v>4.8972858740343453E-3</v>
      </c>
      <c r="AA201">
        <f>100*(Q201/$T$6)</f>
        <v>2.4285627328222686E-3</v>
      </c>
    </row>
    <row r="202" spans="1:27" x14ac:dyDescent="0.3">
      <c r="A202">
        <v>4800</v>
      </c>
      <c r="B202">
        <v>2971164.2370972699</v>
      </c>
      <c r="C202">
        <v>52439979.325549297</v>
      </c>
      <c r="D202">
        <v>38537682.4247614</v>
      </c>
      <c r="E202">
        <v>28573203.1174514</v>
      </c>
      <c r="F202">
        <v>20503402.283876799</v>
      </c>
      <c r="G202">
        <v>11283657.226140199</v>
      </c>
      <c r="H202">
        <v>19004060.1036238</v>
      </c>
      <c r="J202">
        <f t="shared" si="40"/>
        <v>200</v>
      </c>
      <c r="K202">
        <f t="shared" si="41"/>
        <v>1.9860723510008489E-5</v>
      </c>
      <c r="L202">
        <f t="shared" si="42"/>
        <v>3.5053462116008886E-4</v>
      </c>
      <c r="M202">
        <f t="shared" si="43"/>
        <v>2.5760482904252271E-4</v>
      </c>
      <c r="N202">
        <f t="shared" si="44"/>
        <v>1.9099734704178744E-4</v>
      </c>
      <c r="O202">
        <f t="shared" si="45"/>
        <v>1.3705482810078074E-4</v>
      </c>
      <c r="P202">
        <f t="shared" si="46"/>
        <v>7.5425516217514702E-5</v>
      </c>
      <c r="Q202">
        <f t="shared" si="47"/>
        <v>1.270324873236885E-4</v>
      </c>
      <c r="V202">
        <f t="shared" si="48"/>
        <v>200</v>
      </c>
      <c r="W202">
        <f t="shared" si="37"/>
        <v>9.0577421488395052E-2</v>
      </c>
      <c r="X202">
        <f t="shared" si="38"/>
        <v>3.5629990185687792E-2</v>
      </c>
      <c r="Y202">
        <f t="shared" si="39"/>
        <v>1.9099734704178743E-2</v>
      </c>
      <c r="Z202">
        <f>100*(P202/$T$5)</f>
        <v>4.9491808541676308E-3</v>
      </c>
      <c r="AA202">
        <f>100*(Q202/$T$6)</f>
        <v>2.4410547141369811E-3</v>
      </c>
    </row>
    <row r="203" spans="1:27" x14ac:dyDescent="0.3">
      <c r="A203">
        <v>4824</v>
      </c>
      <c r="B203">
        <v>3001007.0937291998</v>
      </c>
      <c r="C203">
        <v>53116765.436580203</v>
      </c>
      <c r="D203">
        <v>38629305.281971797</v>
      </c>
      <c r="E203">
        <v>28752301.978147399</v>
      </c>
      <c r="F203">
        <v>17731338.814531598</v>
      </c>
      <c r="G203">
        <v>11402669.322138799</v>
      </c>
      <c r="H203">
        <v>19046899.7331209</v>
      </c>
      <c r="J203">
        <f t="shared" si="40"/>
        <v>201</v>
      </c>
      <c r="K203">
        <f t="shared" si="41"/>
        <v>2.0060207845783422E-5</v>
      </c>
      <c r="L203">
        <f t="shared" si="42"/>
        <v>3.550585924905094E-4</v>
      </c>
      <c r="M203">
        <f t="shared" si="43"/>
        <v>2.5821728129660291E-4</v>
      </c>
      <c r="N203">
        <f t="shared" si="44"/>
        <v>1.9219453193948795E-4</v>
      </c>
      <c r="O203">
        <f t="shared" si="45"/>
        <v>1.1852499207574598E-4</v>
      </c>
      <c r="P203">
        <f t="shared" si="46"/>
        <v>7.6221051618574867E-5</v>
      </c>
      <c r="Q203">
        <f t="shared" si="47"/>
        <v>1.2731884848342847E-4</v>
      </c>
      <c r="V203">
        <f t="shared" si="48"/>
        <v>201</v>
      </c>
      <c r="W203">
        <f t="shared" si="37"/>
        <v>9.1746406328297003E-2</v>
      </c>
      <c r="X203">
        <f t="shared" si="38"/>
        <v>3.5714700041023915E-2</v>
      </c>
      <c r="Y203">
        <f t="shared" si="39"/>
        <v>1.9219453193948795E-2</v>
      </c>
      <c r="Z203">
        <f>100*(P203/$T$5)</f>
        <v>5.0013813398015004E-3</v>
      </c>
      <c r="AA203">
        <f>100*(Q203/$T$6)</f>
        <v>2.4465574266608085E-3</v>
      </c>
    </row>
    <row r="204" spans="1:27" x14ac:dyDescent="0.3">
      <c r="A204">
        <v>4848</v>
      </c>
      <c r="B204">
        <v>3030999.6328992601</v>
      </c>
      <c r="C204">
        <v>53710732.481538102</v>
      </c>
      <c r="D204">
        <v>38720691.298129097</v>
      </c>
      <c r="E204">
        <v>28923458.4739604</v>
      </c>
      <c r="F204">
        <v>15326943.811068799</v>
      </c>
      <c r="G204">
        <v>11522379.0943202</v>
      </c>
      <c r="H204">
        <v>19065501.214668401</v>
      </c>
      <c r="J204">
        <f t="shared" si="40"/>
        <v>202</v>
      </c>
      <c r="K204">
        <f t="shared" si="41"/>
        <v>2.0260692733283824E-5</v>
      </c>
      <c r="L204">
        <f t="shared" si="42"/>
        <v>3.5902896043808893E-4</v>
      </c>
      <c r="M204">
        <f t="shared" si="43"/>
        <v>2.5882815038856348E-4</v>
      </c>
      <c r="N204">
        <f t="shared" si="44"/>
        <v>1.933386261628369E-4</v>
      </c>
      <c r="O204">
        <f t="shared" si="45"/>
        <v>1.0245283296168983E-4</v>
      </c>
      <c r="P204">
        <f t="shared" si="46"/>
        <v>7.7021250630482629E-5</v>
      </c>
      <c r="Q204">
        <f t="shared" si="47"/>
        <v>1.2744318993762301E-4</v>
      </c>
      <c r="V204">
        <f t="shared" si="48"/>
        <v>202</v>
      </c>
      <c r="W204">
        <f t="shared" si="37"/>
        <v>9.2772341198472594E-2</v>
      </c>
      <c r="X204">
        <f t="shared" si="38"/>
        <v>3.5799190925112516E-2</v>
      </c>
      <c r="Y204">
        <f t="shared" si="39"/>
        <v>1.9333862616283691E-2</v>
      </c>
      <c r="Z204">
        <f>100*(P204/$T$5)</f>
        <v>5.0538878366458411E-3</v>
      </c>
      <c r="AA204">
        <f>100*(Q204/$T$6)</f>
        <v>2.448946770515431E-3</v>
      </c>
    </row>
    <row r="205" spans="1:27" x14ac:dyDescent="0.3">
      <c r="A205">
        <v>4872</v>
      </c>
      <c r="B205">
        <v>3061141.8711896199</v>
      </c>
      <c r="C205">
        <v>54215639.149169102</v>
      </c>
      <c r="D205">
        <v>38811947.615378402</v>
      </c>
      <c r="E205">
        <v>29084919.733201299</v>
      </c>
      <c r="F205">
        <v>13770538.545431999</v>
      </c>
      <c r="G205">
        <v>11642787.843435001</v>
      </c>
      <c r="H205">
        <v>19243683.914216399</v>
      </c>
      <c r="J205">
        <f t="shared" si="40"/>
        <v>203</v>
      </c>
      <c r="K205">
        <f t="shared" si="41"/>
        <v>2.0462178283353075E-5</v>
      </c>
      <c r="L205">
        <f t="shared" si="42"/>
        <v>3.6240400500781484E-4</v>
      </c>
      <c r="M205">
        <f t="shared" si="43"/>
        <v>2.5943815250921394E-4</v>
      </c>
      <c r="N205">
        <f t="shared" si="44"/>
        <v>1.9441791265508891E-4</v>
      </c>
      <c r="O205">
        <f t="shared" si="45"/>
        <v>9.2049054448074859E-5</v>
      </c>
      <c r="P205">
        <f t="shared" si="46"/>
        <v>7.7826121948094929E-5</v>
      </c>
      <c r="Q205">
        <f t="shared" si="47"/>
        <v>1.2863425076347861E-4</v>
      </c>
      <c r="V205">
        <f t="shared" si="48"/>
        <v>203</v>
      </c>
      <c r="W205">
        <f t="shared" si="37"/>
        <v>9.3644445738453444E-2</v>
      </c>
      <c r="X205">
        <f t="shared" si="38"/>
        <v>3.5883561896156838E-2</v>
      </c>
      <c r="Y205">
        <f t="shared" si="39"/>
        <v>1.9441791265508889E-2</v>
      </c>
      <c r="Z205">
        <f>100*(P205/$T$5)</f>
        <v>5.106700915229326E-3</v>
      </c>
      <c r="AA205">
        <f>100*(Q205/$T$6)</f>
        <v>2.4718341806971296E-3</v>
      </c>
    </row>
    <row r="206" spans="1:27" x14ac:dyDescent="0.3">
      <c r="A206">
        <v>4896</v>
      </c>
      <c r="B206">
        <v>3091433.8233501199</v>
      </c>
      <c r="C206">
        <v>54627313.419739202</v>
      </c>
      <c r="D206">
        <v>38903180.921184599</v>
      </c>
      <c r="E206">
        <v>29235220.081572201</v>
      </c>
      <c r="F206">
        <v>13610706.644413801</v>
      </c>
      <c r="G206">
        <v>11763896.8401627</v>
      </c>
      <c r="H206">
        <v>19386710.969207998</v>
      </c>
      <c r="J206">
        <f t="shared" si="40"/>
        <v>204</v>
      </c>
      <c r="K206">
        <f t="shared" si="41"/>
        <v>2.0664664594586362E-5</v>
      </c>
      <c r="L206">
        <f t="shared" si="42"/>
        <v>3.6515583836724063E-4</v>
      </c>
      <c r="M206">
        <f t="shared" si="43"/>
        <v>2.6004800081005751E-4</v>
      </c>
      <c r="N206">
        <f t="shared" si="44"/>
        <v>1.9542259412815642E-4</v>
      </c>
      <c r="O206">
        <f t="shared" si="45"/>
        <v>9.098065938779278E-5</v>
      </c>
      <c r="P206">
        <f t="shared" si="46"/>
        <v>7.8635674065258697E-5</v>
      </c>
      <c r="Q206">
        <f t="shared" si="47"/>
        <v>1.295903139652941E-4</v>
      </c>
      <c r="V206">
        <f t="shared" si="48"/>
        <v>204</v>
      </c>
      <c r="W206">
        <f t="shared" si="37"/>
        <v>9.4355513789984663E-2</v>
      </c>
      <c r="X206">
        <f t="shared" si="38"/>
        <v>3.5967911591985827E-2</v>
      </c>
      <c r="Y206">
        <f t="shared" si="39"/>
        <v>1.9542259412815642E-2</v>
      </c>
      <c r="Z206">
        <f>100*(P206/$T$5)</f>
        <v>5.1598211328909909E-3</v>
      </c>
      <c r="AA206">
        <f>100*(Q206/$T$6)</f>
        <v>2.4902058794253287E-3</v>
      </c>
    </row>
    <row r="207" spans="1:27" x14ac:dyDescent="0.3">
      <c r="A207">
        <v>4920</v>
      </c>
      <c r="B207">
        <v>3121875.50196015</v>
      </c>
      <c r="C207">
        <v>54943791.604027197</v>
      </c>
      <c r="D207">
        <v>38994497.3106879</v>
      </c>
      <c r="E207">
        <v>29373466.393952601</v>
      </c>
      <c r="F207">
        <v>15043140.7033788</v>
      </c>
      <c r="G207">
        <v>11885707.206379199</v>
      </c>
      <c r="H207">
        <v>19602146.2929115</v>
      </c>
      <c r="J207">
        <f t="shared" si="40"/>
        <v>205</v>
      </c>
      <c r="K207">
        <f t="shared" si="41"/>
        <v>2.0868151751070522E-5</v>
      </c>
      <c r="L207">
        <f t="shared" si="42"/>
        <v>3.6727133425151868E-4</v>
      </c>
      <c r="M207">
        <f t="shared" si="43"/>
        <v>2.6065840448320787E-4</v>
      </c>
      <c r="N207">
        <f t="shared" si="44"/>
        <v>1.9634670049433557E-4</v>
      </c>
      <c r="O207">
        <f t="shared" si="45"/>
        <v>1.0055575336483155E-4</v>
      </c>
      <c r="P207">
        <f t="shared" si="46"/>
        <v>7.9449914481144379E-5</v>
      </c>
      <c r="Q207">
        <f t="shared" si="47"/>
        <v>1.3103038965849934E-4</v>
      </c>
      <c r="V207">
        <f t="shared" si="48"/>
        <v>205</v>
      </c>
      <c r="W207">
        <f t="shared" si="37"/>
        <v>9.4902153553363996E-2</v>
      </c>
      <c r="X207">
        <f t="shared" si="38"/>
        <v>3.6052338102795005E-2</v>
      </c>
      <c r="Y207">
        <f t="shared" si="39"/>
        <v>1.9634670049433558E-2</v>
      </c>
      <c r="Z207">
        <f>100*(P207/$T$5)</f>
        <v>5.2132489817023871E-3</v>
      </c>
      <c r="AA207">
        <f>100*(Q207/$T$6)</f>
        <v>2.5178783562355756E-3</v>
      </c>
    </row>
    <row r="208" spans="1:27" x14ac:dyDescent="0.3">
      <c r="A208">
        <v>4944</v>
      </c>
      <c r="B208">
        <v>3152466.91742195</v>
      </c>
      <c r="C208">
        <v>55165309.884988204</v>
      </c>
      <c r="D208">
        <v>39086002.150551997</v>
      </c>
      <c r="E208">
        <v>29499569.5495129</v>
      </c>
      <c r="F208">
        <v>17719751.7066545</v>
      </c>
      <c r="G208">
        <v>12008219.9913042</v>
      </c>
      <c r="H208">
        <v>19767383.360816099</v>
      </c>
      <c r="J208">
        <f t="shared" si="40"/>
        <v>206</v>
      </c>
      <c r="K208">
        <f t="shared" si="41"/>
        <v>2.1072639822339239E-5</v>
      </c>
      <c r="L208">
        <f t="shared" si="42"/>
        <v>3.6875207142371793E-4</v>
      </c>
      <c r="M208">
        <f t="shared" si="43"/>
        <v>2.6127006785128343E-4</v>
      </c>
      <c r="N208">
        <f t="shared" si="44"/>
        <v>1.9718963602615575E-4</v>
      </c>
      <c r="O208">
        <f t="shared" si="45"/>
        <v>1.1844753814608623E-4</v>
      </c>
      <c r="P208">
        <f t="shared" si="46"/>
        <v>8.0268850209252676E-5</v>
      </c>
      <c r="Q208">
        <f t="shared" si="47"/>
        <v>1.3213491551347659E-4</v>
      </c>
      <c r="V208">
        <f t="shared" si="48"/>
        <v>206</v>
      </c>
      <c r="W208">
        <f t="shared" si="37"/>
        <v>9.5284772977704879E-2</v>
      </c>
      <c r="X208">
        <f t="shared" si="38"/>
        <v>3.6136938845267419E-2</v>
      </c>
      <c r="Y208">
        <f t="shared" si="39"/>
        <v>1.9718963602615575E-2</v>
      </c>
      <c r="Z208">
        <f>100*(P208/$T$5)</f>
        <v>5.266984921866974E-3</v>
      </c>
      <c r="AA208">
        <f>100*(Q208/$T$6)</f>
        <v>2.5391029114811029E-3</v>
      </c>
    </row>
    <row r="209" spans="1:27" x14ac:dyDescent="0.3">
      <c r="A209">
        <v>4968</v>
      </c>
      <c r="B209">
        <v>3183208.0779853798</v>
      </c>
      <c r="C209">
        <v>55294156.415338397</v>
      </c>
      <c r="D209">
        <v>39177799.940323099</v>
      </c>
      <c r="E209">
        <v>29614337.762500402</v>
      </c>
      <c r="F209">
        <v>21111776.7834353</v>
      </c>
      <c r="G209">
        <v>12131436.3011216</v>
      </c>
      <c r="H209">
        <v>19910428.161354899</v>
      </c>
      <c r="J209">
        <f t="shared" si="40"/>
        <v>207</v>
      </c>
      <c r="K209">
        <f t="shared" si="41"/>
        <v>2.1278128863538637E-5</v>
      </c>
      <c r="L209">
        <f t="shared" si="42"/>
        <v>3.6961334502231549E-4</v>
      </c>
      <c r="M209">
        <f t="shared" si="43"/>
        <v>2.6188368944066241E-4</v>
      </c>
      <c r="N209">
        <f t="shared" si="44"/>
        <v>1.9795680322527007E-4</v>
      </c>
      <c r="O209">
        <f t="shared" si="45"/>
        <v>1.411215025630702E-4</v>
      </c>
      <c r="P209">
        <f t="shared" si="46"/>
        <v>8.1092488643860958E-5</v>
      </c>
      <c r="Q209">
        <f t="shared" si="47"/>
        <v>1.3309109733526003E-4</v>
      </c>
      <c r="V209">
        <f t="shared" si="48"/>
        <v>207</v>
      </c>
      <c r="W209">
        <f t="shared" si="37"/>
        <v>9.5507324295171961E-2</v>
      </c>
      <c r="X209">
        <f t="shared" si="38"/>
        <v>3.622181043439314E-2</v>
      </c>
      <c r="Y209">
        <f t="shared" si="39"/>
        <v>1.9795680322527008E-2</v>
      </c>
      <c r="Z209">
        <f>100*(P209/$T$5)</f>
        <v>5.3210294385735539E-3</v>
      </c>
      <c r="AA209">
        <f>100*(Q209/$T$6)</f>
        <v>2.5574768896091471E-3</v>
      </c>
    </row>
    <row r="210" spans="1:27" x14ac:dyDescent="0.3">
      <c r="A210">
        <v>4992</v>
      </c>
      <c r="B210">
        <v>3214098.9896368999</v>
      </c>
      <c r="C210">
        <v>55334409.269792899</v>
      </c>
      <c r="D210">
        <v>39269994.177137204</v>
      </c>
      <c r="E210">
        <v>29719396.072527599</v>
      </c>
      <c r="F210">
        <v>24801262.071637802</v>
      </c>
      <c r="G210">
        <v>12255357.3125716</v>
      </c>
      <c r="H210">
        <v>19946661.194929201</v>
      </c>
      <c r="J210">
        <f t="shared" si="40"/>
        <v>208</v>
      </c>
      <c r="K210">
        <f t="shared" si="41"/>
        <v>2.1484618914685161E-5</v>
      </c>
      <c r="L210">
        <f t="shared" si="42"/>
        <v>3.6988241490503273E-4</v>
      </c>
      <c r="M210">
        <f t="shared" si="43"/>
        <v>2.6249996107712036E-4</v>
      </c>
      <c r="N210">
        <f t="shared" si="44"/>
        <v>1.9865906465593315E-4</v>
      </c>
      <c r="O210">
        <f t="shared" si="45"/>
        <v>1.6578383737725802E-4</v>
      </c>
      <c r="P210">
        <f t="shared" si="46"/>
        <v>8.1920837650879678E-5</v>
      </c>
      <c r="Q210">
        <f t="shared" si="47"/>
        <v>1.3333329675754813E-4</v>
      </c>
      <c r="V210">
        <f t="shared" si="48"/>
        <v>208</v>
      </c>
      <c r="W210">
        <f t="shared" si="37"/>
        <v>9.5576851396649287E-2</v>
      </c>
      <c r="X210">
        <f t="shared" si="38"/>
        <v>3.6307048558384562E-2</v>
      </c>
      <c r="Y210">
        <f t="shared" si="39"/>
        <v>1.9865906465593317E-2</v>
      </c>
      <c r="Z210">
        <f>100*(P210/$T$5)</f>
        <v>5.375383047957984E-3</v>
      </c>
      <c r="AA210">
        <f>100*(Q210/$T$6)</f>
        <v>2.562130990729211E-3</v>
      </c>
    </row>
    <row r="211" spans="1:27" x14ac:dyDescent="0.3">
      <c r="A211">
        <v>5016</v>
      </c>
      <c r="B211">
        <v>3245139.6566090402</v>
      </c>
      <c r="C211">
        <v>55291596.7279296</v>
      </c>
      <c r="D211">
        <v>39362687.222203597</v>
      </c>
      <c r="E211">
        <v>29816964.821906399</v>
      </c>
      <c r="F211">
        <v>28510679.5209883</v>
      </c>
      <c r="G211">
        <v>12379984.174734199</v>
      </c>
      <c r="H211">
        <v>19933050.057659201</v>
      </c>
      <c r="J211">
        <f t="shared" si="40"/>
        <v>209</v>
      </c>
      <c r="K211">
        <f t="shared" si="41"/>
        <v>2.1692110004071124E-5</v>
      </c>
      <c r="L211">
        <f t="shared" si="42"/>
        <v>3.6959623481236365E-4</v>
      </c>
      <c r="M211">
        <f t="shared" si="43"/>
        <v>2.6311956699333957E-4</v>
      </c>
      <c r="N211">
        <f t="shared" si="44"/>
        <v>1.993112621785187E-4</v>
      </c>
      <c r="O211">
        <f t="shared" si="45"/>
        <v>1.9057940856275602E-4</v>
      </c>
      <c r="P211">
        <f t="shared" si="46"/>
        <v>8.2753904911324867E-5</v>
      </c>
      <c r="Q211">
        <f t="shared" si="47"/>
        <v>1.3324231321964707E-4</v>
      </c>
      <c r="V211">
        <f t="shared" si="48"/>
        <v>209</v>
      </c>
      <c r="W211">
        <f t="shared" si="37"/>
        <v>9.5502903052290353E-2</v>
      </c>
      <c r="X211">
        <f t="shared" si="38"/>
        <v>3.6392747855233692E-2</v>
      </c>
      <c r="Y211">
        <f t="shared" si="39"/>
        <v>1.9931126217851869E-2</v>
      </c>
      <c r="Z211">
        <f>100*(P211/$T$5)</f>
        <v>5.4300462540239408E-3</v>
      </c>
      <c r="AA211">
        <f>100*(Q211/$T$6)</f>
        <v>2.5603826521838412E-3</v>
      </c>
    </row>
    <row r="212" spans="1:27" x14ac:dyDescent="0.3">
      <c r="A212">
        <v>5040</v>
      </c>
      <c r="B212">
        <v>3276330.08188299</v>
      </c>
      <c r="C212">
        <v>55172320.332078598</v>
      </c>
      <c r="D212">
        <v>39455980.1641794</v>
      </c>
      <c r="E212">
        <v>29909575.146888599</v>
      </c>
      <c r="F212">
        <v>32058937.032697</v>
      </c>
      <c r="G212">
        <v>12505318.0043026</v>
      </c>
      <c r="H212">
        <v>20039343.961819101</v>
      </c>
      <c r="J212">
        <f t="shared" si="40"/>
        <v>210</v>
      </c>
      <c r="K212">
        <f t="shared" si="41"/>
        <v>2.1900602151624265E-5</v>
      </c>
      <c r="L212">
        <f t="shared" si="42"/>
        <v>3.6879893270106015E-4</v>
      </c>
      <c r="M212">
        <f t="shared" si="43"/>
        <v>2.637431829156377E-4</v>
      </c>
      <c r="N212">
        <f t="shared" si="44"/>
        <v>1.9993031515299866E-4</v>
      </c>
      <c r="O212">
        <f t="shared" si="45"/>
        <v>2.1429770743781418E-4</v>
      </c>
      <c r="P212">
        <f t="shared" si="46"/>
        <v>8.3591697889723258E-5</v>
      </c>
      <c r="Q212">
        <f t="shared" si="47"/>
        <v>1.3395283396937902E-4</v>
      </c>
      <c r="V212">
        <f t="shared" si="48"/>
        <v>210</v>
      </c>
      <c r="W212">
        <f t="shared" si="37"/>
        <v>9.5296881834899261E-2</v>
      </c>
      <c r="X212">
        <f t="shared" si="38"/>
        <v>3.6479001786395258E-2</v>
      </c>
      <c r="Y212">
        <f t="shared" si="39"/>
        <v>1.9993031515299867E-2</v>
      </c>
      <c r="Z212">
        <f>100*(P212/$T$5)</f>
        <v>5.4850195465697676E-3</v>
      </c>
      <c r="AA212">
        <f>100*(Q212/$T$6)</f>
        <v>2.5740360101725408E-3</v>
      </c>
    </row>
    <row r="213" spans="1:27" x14ac:dyDescent="0.3">
      <c r="A213">
        <v>5064</v>
      </c>
      <c r="B213">
        <v>3307670.2671954799</v>
      </c>
      <c r="C213">
        <v>54983878.276515998</v>
      </c>
      <c r="D213">
        <v>39549972.689969502</v>
      </c>
      <c r="E213">
        <v>29999799.149760701</v>
      </c>
      <c r="F213">
        <v>35325514.209743202</v>
      </c>
      <c r="G213">
        <v>12631359.988479</v>
      </c>
      <c r="H213">
        <v>20107243.839407802</v>
      </c>
      <c r="J213">
        <f t="shared" si="40"/>
        <v>211</v>
      </c>
      <c r="K213">
        <f t="shared" si="41"/>
        <v>2.2110095368953742E-5</v>
      </c>
      <c r="L213">
        <f t="shared" si="42"/>
        <v>3.6753929329221924E-4</v>
      </c>
      <c r="M213">
        <f t="shared" si="43"/>
        <v>2.6437147520033091E-4</v>
      </c>
      <c r="N213">
        <f t="shared" si="44"/>
        <v>2.0053341677647528E-4</v>
      </c>
      <c r="O213">
        <f t="shared" si="45"/>
        <v>2.3613311637528877E-4</v>
      </c>
      <c r="P213">
        <f t="shared" si="46"/>
        <v>8.4434224521918444E-5</v>
      </c>
      <c r="Q213">
        <f t="shared" si="47"/>
        <v>1.3440671015646928E-4</v>
      </c>
      <c r="V213">
        <f t="shared" si="48"/>
        <v>211</v>
      </c>
      <c r="W213">
        <f t="shared" si="37"/>
        <v>9.497139361556052E-2</v>
      </c>
      <c r="X213">
        <f t="shared" si="38"/>
        <v>3.6565902517334846E-2</v>
      </c>
      <c r="Y213">
        <f t="shared" si="39"/>
        <v>2.0053341677647527E-2</v>
      </c>
      <c r="Z213">
        <f>100*(P213/$T$5)</f>
        <v>5.5403034463201075E-3</v>
      </c>
      <c r="AA213">
        <f>100*(Q213/$T$6)</f>
        <v>2.5827576894017928E-3</v>
      </c>
    </row>
    <row r="214" spans="1:27" x14ac:dyDescent="0.3">
      <c r="A214">
        <v>5088</v>
      </c>
      <c r="B214">
        <v>3339160.21374611</v>
      </c>
      <c r="C214">
        <v>54733918.980060004</v>
      </c>
      <c r="D214">
        <v>39644762.952224597</v>
      </c>
      <c r="E214">
        <v>30090039.5128318</v>
      </c>
      <c r="F214">
        <v>38229026.842612699</v>
      </c>
      <c r="G214">
        <v>12758111.414317099</v>
      </c>
      <c r="H214">
        <v>20248199.876197498</v>
      </c>
      <c r="J214">
        <f t="shared" si="40"/>
        <v>212</v>
      </c>
      <c r="K214">
        <f t="shared" si="41"/>
        <v>2.2320589664078277E-5</v>
      </c>
      <c r="L214">
        <f t="shared" si="42"/>
        <v>3.6586844238008025E-4</v>
      </c>
      <c r="M214">
        <f t="shared" si="43"/>
        <v>2.650050999480254E-4</v>
      </c>
      <c r="N214">
        <f t="shared" si="44"/>
        <v>2.0113662775957084E-4</v>
      </c>
      <c r="O214">
        <f t="shared" si="45"/>
        <v>2.5554162327949667E-4</v>
      </c>
      <c r="P214">
        <f t="shared" si="46"/>
        <v>8.5281493411210556E-5</v>
      </c>
      <c r="Q214">
        <f t="shared" si="47"/>
        <v>1.3534892965372659E-4</v>
      </c>
      <c r="V214">
        <f t="shared" si="48"/>
        <v>212</v>
      </c>
      <c r="W214">
        <f t="shared" si="37"/>
        <v>9.4539649193819186E-2</v>
      </c>
      <c r="X214">
        <f t="shared" si="38"/>
        <v>3.665354079502426E-2</v>
      </c>
      <c r="Y214">
        <f t="shared" si="39"/>
        <v>2.0113662775957084E-2</v>
      </c>
      <c r="Z214">
        <f>100*(P214/$T$5)</f>
        <v>5.5958985177959678E-3</v>
      </c>
      <c r="AA214">
        <f>100*(Q214/$T$6)</f>
        <v>2.6008633676734552E-3</v>
      </c>
    </row>
    <row r="215" spans="1:27" x14ac:dyDescent="0.3">
      <c r="A215">
        <v>5112</v>
      </c>
      <c r="B215">
        <v>3370799.9224974602</v>
      </c>
      <c r="C215">
        <v>54430144.724317603</v>
      </c>
      <c r="D215">
        <v>39740447.441569798</v>
      </c>
      <c r="E215">
        <v>30182386.835269202</v>
      </c>
      <c r="F215">
        <v>40714890.852104202</v>
      </c>
      <c r="G215">
        <v>12885573.538905</v>
      </c>
      <c r="H215">
        <v>20336461.523993202</v>
      </c>
      <c r="J215">
        <f t="shared" si="40"/>
        <v>213</v>
      </c>
      <c r="K215">
        <f t="shared" si="41"/>
        <v>2.253208504343222E-5</v>
      </c>
      <c r="L215">
        <f t="shared" si="42"/>
        <v>3.6383786580426204E-4</v>
      </c>
      <c r="M215">
        <f t="shared" si="43"/>
        <v>2.6564470214953073E-4</v>
      </c>
      <c r="N215">
        <f t="shared" si="44"/>
        <v>2.0175392269564975E-4</v>
      </c>
      <c r="O215">
        <f t="shared" si="45"/>
        <v>2.7215836131085698E-4</v>
      </c>
      <c r="P215">
        <f t="shared" si="46"/>
        <v>8.6133512960594923E-5</v>
      </c>
      <c r="Q215">
        <f t="shared" si="47"/>
        <v>1.3593891393043583E-4</v>
      </c>
      <c r="V215">
        <f t="shared" si="48"/>
        <v>213</v>
      </c>
      <c r="W215">
        <f t="shared" si="37"/>
        <v>9.4014952404202073E-2</v>
      </c>
      <c r="X215">
        <f t="shared" si="38"/>
        <v>3.674200582981061E-2</v>
      </c>
      <c r="Y215">
        <f t="shared" si="39"/>
        <v>2.0175392269564975E-2</v>
      </c>
      <c r="Z215">
        <f>100*(P215/$T$5)</f>
        <v>5.651805312374995E-3</v>
      </c>
      <c r="AA215">
        <f>100*(Q215/$T$6)</f>
        <v>2.6122004982789362E-3</v>
      </c>
    </row>
    <row r="216" spans="1:27" x14ac:dyDescent="0.3">
      <c r="A216">
        <v>5136</v>
      </c>
      <c r="B216">
        <v>3402589.394353</v>
      </c>
      <c r="C216">
        <v>54080075.296217702</v>
      </c>
      <c r="D216">
        <v>39837120.860480703</v>
      </c>
      <c r="E216">
        <v>30278532.365526401</v>
      </c>
      <c r="F216">
        <v>42748273.015168898</v>
      </c>
      <c r="G216">
        <v>13013747.460270099</v>
      </c>
      <c r="H216">
        <v>20445815.3824169</v>
      </c>
      <c r="J216">
        <f t="shared" si="40"/>
        <v>214</v>
      </c>
      <c r="K216">
        <f t="shared" si="41"/>
        <v>2.2744581513054812E-5</v>
      </c>
      <c r="L216">
        <f t="shared" si="42"/>
        <v>3.614978295201718E-4</v>
      </c>
      <c r="M216">
        <f t="shared" si="43"/>
        <v>2.6629091484278543E-4</v>
      </c>
      <c r="N216">
        <f t="shared" si="44"/>
        <v>2.0239660672143316E-4</v>
      </c>
      <c r="O216">
        <f t="shared" si="45"/>
        <v>2.857504880693108E-4</v>
      </c>
      <c r="P216">
        <f t="shared" si="46"/>
        <v>8.6990290509826867E-5</v>
      </c>
      <c r="Q216">
        <f t="shared" si="47"/>
        <v>1.3666988891989908E-4</v>
      </c>
      <c r="V216">
        <f t="shared" si="48"/>
        <v>214</v>
      </c>
      <c r="W216">
        <f t="shared" si="37"/>
        <v>9.3410291865677467E-2</v>
      </c>
      <c r="X216">
        <f t="shared" si="38"/>
        <v>3.6831385178808497E-2</v>
      </c>
      <c r="Y216">
        <f t="shared" si="39"/>
        <v>2.0239660672143316E-2</v>
      </c>
      <c r="Z216">
        <f>100*(P216/$T$5)</f>
        <v>5.7080243116684297E-3</v>
      </c>
      <c r="AA216">
        <f>100*(Q216/$T$6)</f>
        <v>2.6262469046867618E-3</v>
      </c>
    </row>
    <row r="217" spans="1:27" x14ac:dyDescent="0.3">
      <c r="A217">
        <v>5160</v>
      </c>
      <c r="B217">
        <v>3434528.6304113101</v>
      </c>
      <c r="C217">
        <v>53690873.231849201</v>
      </c>
      <c r="D217">
        <v>39934875.999922</v>
      </c>
      <c r="E217">
        <v>30379721.281711701</v>
      </c>
      <c r="F217">
        <v>44310111.872849204</v>
      </c>
      <c r="G217">
        <v>13142634.1798563</v>
      </c>
      <c r="H217">
        <v>20448951.2874396</v>
      </c>
      <c r="J217">
        <f t="shared" si="40"/>
        <v>215</v>
      </c>
      <c r="K217">
        <f t="shared" si="41"/>
        <v>2.2958079080289507E-5</v>
      </c>
      <c r="L217">
        <f t="shared" si="42"/>
        <v>3.5889621144284223E-4</v>
      </c>
      <c r="M217">
        <f t="shared" si="43"/>
        <v>2.6694435828824865E-4</v>
      </c>
      <c r="N217">
        <f t="shared" si="44"/>
        <v>2.0307300321999801E-4</v>
      </c>
      <c r="O217">
        <f t="shared" si="45"/>
        <v>2.9619058738535563E-4</v>
      </c>
      <c r="P217">
        <f t="shared" si="46"/>
        <v>8.7851832753050134E-5</v>
      </c>
      <c r="Q217">
        <f t="shared" si="47"/>
        <v>1.3669085085186899E-4</v>
      </c>
      <c r="V217">
        <f t="shared" si="48"/>
        <v>215</v>
      </c>
      <c r="W217">
        <f t="shared" si="37"/>
        <v>9.2738039132517366E-2</v>
      </c>
      <c r="X217">
        <f t="shared" si="38"/>
        <v>3.6921764631846286E-2</v>
      </c>
      <c r="Y217">
        <f t="shared" si="39"/>
        <v>2.0307300321999802E-2</v>
      </c>
      <c r="Z217">
        <f>100*(P217/$T$5)</f>
        <v>5.7645559549245494E-3</v>
      </c>
      <c r="AA217">
        <f>100*(Q217/$T$6)</f>
        <v>2.6266497089137007E-3</v>
      </c>
    </row>
    <row r="218" spans="1:27" x14ac:dyDescent="0.3">
      <c r="A218">
        <v>5184</v>
      </c>
      <c r="B218">
        <v>3466617.6322030402</v>
      </c>
      <c r="C218">
        <v>53269226.2695169</v>
      </c>
      <c r="D218">
        <v>40033803.618599601</v>
      </c>
      <c r="E218">
        <v>30486738.711843099</v>
      </c>
      <c r="F218">
        <v>45394717.664831102</v>
      </c>
      <c r="G218">
        <v>13272234.7929138</v>
      </c>
      <c r="H218">
        <v>20434972.500624299</v>
      </c>
      <c r="J218">
        <f t="shared" si="40"/>
        <v>216</v>
      </c>
      <c r="K218">
        <f t="shared" si="41"/>
        <v>2.3172577755367915E-5</v>
      </c>
      <c r="L218">
        <f t="shared" si="42"/>
        <v>3.5607771570532687E-4</v>
      </c>
      <c r="M218">
        <f t="shared" si="43"/>
        <v>2.6760563916176206E-4</v>
      </c>
      <c r="N218">
        <f t="shared" si="44"/>
        <v>2.0378836037328275E-4</v>
      </c>
      <c r="O218">
        <f t="shared" si="45"/>
        <v>3.034406261018122E-4</v>
      </c>
      <c r="P218">
        <f t="shared" si="46"/>
        <v>8.8718147011455879E-5</v>
      </c>
      <c r="Q218">
        <f t="shared" si="47"/>
        <v>1.3659740976353142E-4</v>
      </c>
      <c r="V218">
        <f t="shared" si="48"/>
        <v>216</v>
      </c>
      <c r="W218">
        <f t="shared" si="37"/>
        <v>9.2009745660291173E-2</v>
      </c>
      <c r="X218">
        <f t="shared" si="38"/>
        <v>3.7013228099828779E-2</v>
      </c>
      <c r="Y218">
        <f t="shared" si="39"/>
        <v>2.0378836037328277E-2</v>
      </c>
      <c r="Z218">
        <f>100*(P218/$T$5)</f>
        <v>5.8214007225364751E-3</v>
      </c>
      <c r="AA218">
        <f>100*(Q218/$T$6)</f>
        <v>2.6248541461093662E-3</v>
      </c>
    </row>
    <row r="219" spans="1:27" x14ac:dyDescent="0.3">
      <c r="A219">
        <v>5208</v>
      </c>
      <c r="B219">
        <v>3498856.4018175201</v>
      </c>
      <c r="C219">
        <v>52821279.042419702</v>
      </c>
      <c r="D219">
        <v>40133992.3254463</v>
      </c>
      <c r="E219">
        <v>30599927.387888201</v>
      </c>
      <c r="F219">
        <v>46007852.377839699</v>
      </c>
      <c r="G219">
        <v>13402550.5645831</v>
      </c>
      <c r="H219">
        <v>20548792.525862899</v>
      </c>
      <c r="J219">
        <f t="shared" si="40"/>
        <v>217</v>
      </c>
      <c r="K219">
        <f t="shared" si="41"/>
        <v>2.3388077552256152E-5</v>
      </c>
      <c r="L219">
        <f t="shared" si="42"/>
        <v>3.5308341605895521E-4</v>
      </c>
      <c r="M219">
        <f t="shared" si="43"/>
        <v>2.6827534976902608E-4</v>
      </c>
      <c r="N219">
        <f t="shared" si="44"/>
        <v>2.0454496917037568E-4</v>
      </c>
      <c r="O219">
        <f t="shared" si="45"/>
        <v>3.0753912017272524E-4</v>
      </c>
      <c r="P219">
        <f t="shared" si="46"/>
        <v>8.9589241741865646E-5</v>
      </c>
      <c r="Q219">
        <f t="shared" si="47"/>
        <v>1.3735823880924397E-4</v>
      </c>
      <c r="V219">
        <f t="shared" si="48"/>
        <v>217</v>
      </c>
      <c r="W219">
        <f t="shared" si="37"/>
        <v>9.1236024821435446E-2</v>
      </c>
      <c r="X219">
        <f t="shared" si="38"/>
        <v>3.7105857506089364E-2</v>
      </c>
      <c r="Y219">
        <f t="shared" si="39"/>
        <v>2.0454496917037567E-2</v>
      </c>
      <c r="Z219">
        <f>100*(P219/$T$5)</f>
        <v>5.8785591694137558E-3</v>
      </c>
      <c r="AA219">
        <f>100*(Q219/$T$6)</f>
        <v>2.6394742276949264E-3</v>
      </c>
    </row>
    <row r="220" spans="1:27" x14ac:dyDescent="0.3">
      <c r="A220">
        <v>5232</v>
      </c>
      <c r="B220">
        <v>3531244.94189762</v>
      </c>
      <c r="C220">
        <v>52352604.506675497</v>
      </c>
      <c r="D220">
        <v>40235528.465230197</v>
      </c>
      <c r="E220">
        <v>30719236.742596898</v>
      </c>
      <c r="F220">
        <v>46164574.538164899</v>
      </c>
      <c r="G220">
        <v>13533582.8188606</v>
      </c>
      <c r="H220">
        <v>20666197.089694701</v>
      </c>
      <c r="J220">
        <f t="shared" si="40"/>
        <v>218</v>
      </c>
      <c r="K220">
        <f t="shared" si="41"/>
        <v>2.3604578488620453E-5</v>
      </c>
      <c r="L220">
        <f t="shared" si="42"/>
        <v>3.4995056488419451E-4</v>
      </c>
      <c r="M220">
        <f t="shared" si="43"/>
        <v>2.6895406728095052E-4</v>
      </c>
      <c r="N220">
        <f t="shared" si="44"/>
        <v>2.0534249159489905E-4</v>
      </c>
      <c r="O220">
        <f t="shared" si="45"/>
        <v>3.0858672819628942E-4</v>
      </c>
      <c r="P220">
        <f t="shared" si="46"/>
        <v>9.0465125794522729E-5</v>
      </c>
      <c r="Q220">
        <f t="shared" si="47"/>
        <v>1.3814302867442982E-4</v>
      </c>
      <c r="V220">
        <f t="shared" si="48"/>
        <v>218</v>
      </c>
      <c r="W220">
        <f t="shared" si="37"/>
        <v>9.0426502554055432E-2</v>
      </c>
      <c r="X220">
        <f t="shared" si="38"/>
        <v>3.7199732680629392E-2</v>
      </c>
      <c r="Y220">
        <f t="shared" si="39"/>
        <v>2.0534249159489905E-2</v>
      </c>
      <c r="Z220">
        <f>100*(P220/$T$5)</f>
        <v>5.9360318762810187E-3</v>
      </c>
      <c r="AA220">
        <f>100*(Q220/$T$6)</f>
        <v>2.6545547400928099E-3</v>
      </c>
    </row>
    <row r="221" spans="1:27" x14ac:dyDescent="0.3">
      <c r="A221">
        <v>5256</v>
      </c>
      <c r="B221">
        <v>3563783.2556223501</v>
      </c>
      <c r="C221">
        <v>51868205.542118497</v>
      </c>
      <c r="D221">
        <v>40338496.0079538</v>
      </c>
      <c r="E221">
        <v>30844298.303058501</v>
      </c>
      <c r="F221">
        <v>45886565.842153601</v>
      </c>
      <c r="G221">
        <v>13665332.7870581</v>
      </c>
      <c r="H221">
        <v>20875275.421452899</v>
      </c>
      <c r="J221">
        <f t="shared" si="40"/>
        <v>219</v>
      </c>
      <c r="K221">
        <f t="shared" si="41"/>
        <v>2.3822080585710898E-5</v>
      </c>
      <c r="L221">
        <f t="shared" si="42"/>
        <v>3.467126038911664E-4</v>
      </c>
      <c r="M221">
        <f t="shared" si="43"/>
        <v>2.6964235299434356E-4</v>
      </c>
      <c r="N221">
        <f t="shared" si="44"/>
        <v>2.0617846459263704E-4</v>
      </c>
      <c r="O221">
        <f t="shared" si="45"/>
        <v>3.0672838129781817E-4</v>
      </c>
      <c r="P221">
        <f t="shared" si="46"/>
        <v>9.1345807400120991E-5</v>
      </c>
      <c r="Q221">
        <f t="shared" si="47"/>
        <v>1.3954061110596857E-4</v>
      </c>
      <c r="V221">
        <f t="shared" si="48"/>
        <v>219</v>
      </c>
      <c r="W221">
        <f t="shared" si="37"/>
        <v>8.9589820126916381E-2</v>
      </c>
      <c r="X221">
        <f t="shared" si="38"/>
        <v>3.7294931257862179E-2</v>
      </c>
      <c r="Y221">
        <f t="shared" si="39"/>
        <v>2.0617846459263706E-2</v>
      </c>
      <c r="Z221">
        <f>100*(P221/$T$5)</f>
        <v>5.9938193832100393E-3</v>
      </c>
      <c r="AA221">
        <f>100*(Q221/$T$6)</f>
        <v>2.6814106669094655E-3</v>
      </c>
    </row>
    <row r="222" spans="1:27" x14ac:dyDescent="0.3">
      <c r="A222">
        <v>5280</v>
      </c>
      <c r="B222">
        <v>3596471.34671622</v>
      </c>
      <c r="C222">
        <v>51372538.052733302</v>
      </c>
      <c r="D222">
        <v>40442976.443012998</v>
      </c>
      <c r="E222">
        <v>30974515.497961301</v>
      </c>
      <c r="F222">
        <v>45199053.8634293</v>
      </c>
      <c r="G222">
        <v>13797801.603773501</v>
      </c>
      <c r="H222">
        <v>21036399.288458001</v>
      </c>
      <c r="J222">
        <f t="shared" si="40"/>
        <v>220</v>
      </c>
      <c r="K222">
        <f t="shared" si="41"/>
        <v>2.4040583868423929E-5</v>
      </c>
      <c r="L222">
        <f t="shared" si="42"/>
        <v>3.4339931853431349E-4</v>
      </c>
      <c r="M222">
        <f t="shared" si="43"/>
        <v>2.7034075162441846E-4</v>
      </c>
      <c r="N222">
        <f t="shared" si="44"/>
        <v>2.0704890038744186E-4</v>
      </c>
      <c r="O222">
        <f t="shared" si="45"/>
        <v>3.0213271299083758E-4</v>
      </c>
      <c r="P222">
        <f t="shared" si="46"/>
        <v>9.2231294142870995E-5</v>
      </c>
      <c r="Q222">
        <f t="shared" si="47"/>
        <v>1.4061764230252676E-4</v>
      </c>
      <c r="V222">
        <f t="shared" si="48"/>
        <v>220</v>
      </c>
      <c r="W222">
        <f t="shared" si="37"/>
        <v>8.8733674039874283E-2</v>
      </c>
      <c r="X222">
        <f t="shared" si="38"/>
        <v>3.7391528578757743E-2</v>
      </c>
      <c r="Y222">
        <f t="shared" si="39"/>
        <v>2.0704890038744185E-2</v>
      </c>
      <c r="Z222">
        <f>100*(P222/$T$5)</f>
        <v>6.0519221878524276E-3</v>
      </c>
      <c r="AA222">
        <f>100*(Q222/$T$6)</f>
        <v>2.7021068851369478E-3</v>
      </c>
    </row>
    <row r="223" spans="1:27" x14ac:dyDescent="0.3">
      <c r="A223">
        <v>5304</v>
      </c>
      <c r="B223">
        <v>3629309.21948958</v>
      </c>
      <c r="C223">
        <v>50869548.240013599</v>
      </c>
      <c r="D223">
        <v>40549048.675076097</v>
      </c>
      <c r="E223">
        <v>31109151.787687499</v>
      </c>
      <c r="F223">
        <v>44127704.012036599</v>
      </c>
      <c r="G223">
        <v>13930990.409335099</v>
      </c>
      <c r="H223">
        <v>21238964.052953601</v>
      </c>
      <c r="J223">
        <f t="shared" si="40"/>
        <v>221</v>
      </c>
      <c r="K223">
        <f t="shared" si="41"/>
        <v>2.426008836557206E-5</v>
      </c>
      <c r="L223">
        <f t="shared" si="42"/>
        <v>3.4003708716586633E-4</v>
      </c>
      <c r="M223">
        <f t="shared" si="43"/>
        <v>2.7104979060879744E-4</v>
      </c>
      <c r="N223">
        <f t="shared" si="44"/>
        <v>2.0794887558614637E-4</v>
      </c>
      <c r="O223">
        <f t="shared" si="45"/>
        <v>2.9497128350291845E-4</v>
      </c>
      <c r="P223">
        <f t="shared" si="46"/>
        <v>9.3121593645288097E-5</v>
      </c>
      <c r="Q223">
        <f t="shared" si="47"/>
        <v>1.4197168484594654E-4</v>
      </c>
      <c r="V223">
        <f t="shared" si="48"/>
        <v>221</v>
      </c>
      <c r="W223">
        <f t="shared" si="37"/>
        <v>8.7864880404616624E-2</v>
      </c>
      <c r="X223">
        <f t="shared" si="38"/>
        <v>3.7489597594577796E-2</v>
      </c>
      <c r="Y223">
        <f t="shared" si="39"/>
        <v>2.0794887558614639E-2</v>
      </c>
      <c r="Z223">
        <f>100*(P223/$T$5)</f>
        <v>6.1103407903732344E-3</v>
      </c>
      <c r="AA223">
        <f>100*(Q223/$T$6)</f>
        <v>2.7281261499989729E-3</v>
      </c>
    </row>
    <row r="224" spans="1:27" x14ac:dyDescent="0.3">
      <c r="A224">
        <v>5328</v>
      </c>
      <c r="B224">
        <v>3662296.8788116998</v>
      </c>
      <c r="C224">
        <v>50362718.217596903</v>
      </c>
      <c r="D224">
        <v>40656788.926726803</v>
      </c>
      <c r="E224">
        <v>31247401.568004999</v>
      </c>
      <c r="F224">
        <v>42695938.281736501</v>
      </c>
      <c r="G224">
        <v>14064900.405838599</v>
      </c>
      <c r="H224">
        <v>21305406.468194202</v>
      </c>
      <c r="J224">
        <f t="shared" si="40"/>
        <v>222</v>
      </c>
      <c r="K224">
        <f t="shared" si="41"/>
        <v>2.4480594109703876E-5</v>
      </c>
      <c r="L224">
        <f t="shared" si="42"/>
        <v>3.3664918594650337E-4</v>
      </c>
      <c r="M224">
        <f t="shared" si="43"/>
        <v>2.7176997945672996E-4</v>
      </c>
      <c r="N224">
        <f t="shared" si="44"/>
        <v>2.0887300513372324E-4</v>
      </c>
      <c r="O224">
        <f t="shared" si="45"/>
        <v>2.8540065696347928E-4</v>
      </c>
      <c r="P224">
        <f t="shared" si="46"/>
        <v>9.4016713942771387E-5</v>
      </c>
      <c r="Q224">
        <f t="shared" si="47"/>
        <v>1.4241581863766177E-4</v>
      </c>
      <c r="V224">
        <f t="shared" si="48"/>
        <v>222</v>
      </c>
      <c r="W224">
        <f t="shared" si="37"/>
        <v>8.6989453732946601E-2</v>
      </c>
      <c r="X224">
        <f t="shared" si="38"/>
        <v>3.7589208776864447E-2</v>
      </c>
      <c r="Y224">
        <f t="shared" si="39"/>
        <v>2.0887300513372325E-2</v>
      </c>
      <c r="Z224">
        <f>100*(P224/$T$5)</f>
        <v>6.169075718029618E-3</v>
      </c>
      <c r="AA224">
        <f>100*(Q224/$T$6)</f>
        <v>2.7366606194785125E-3</v>
      </c>
    </row>
    <row r="225" spans="1:27" x14ac:dyDescent="0.3">
      <c r="A225">
        <v>5352</v>
      </c>
      <c r="B225">
        <v>3695434.3299566498</v>
      </c>
      <c r="C225">
        <v>49855115.548847601</v>
      </c>
      <c r="D225">
        <v>40766270.643970899</v>
      </c>
      <c r="E225">
        <v>31388432.595018901</v>
      </c>
      <c r="F225">
        <v>40923099.644992799</v>
      </c>
      <c r="G225">
        <v>14199532.7801506</v>
      </c>
      <c r="H225">
        <v>21339623.698007099</v>
      </c>
      <c r="J225">
        <f t="shared" si="40"/>
        <v>223</v>
      </c>
      <c r="K225">
        <f t="shared" si="41"/>
        <v>2.4702101136073862E-5</v>
      </c>
      <c r="L225">
        <f t="shared" si="42"/>
        <v>3.3325611997892782E-4</v>
      </c>
      <c r="M225">
        <f t="shared" si="43"/>
        <v>2.7250180911745253E-4</v>
      </c>
      <c r="N225">
        <f t="shared" si="44"/>
        <v>2.0981572590253277E-4</v>
      </c>
      <c r="O225">
        <f t="shared" si="45"/>
        <v>2.735501313167968E-4</v>
      </c>
      <c r="P225">
        <f t="shared" si="46"/>
        <v>9.4916662968921119E-5</v>
      </c>
      <c r="Q225">
        <f t="shared" si="47"/>
        <v>1.4264454343587633E-4</v>
      </c>
      <c r="V225">
        <f t="shared" si="48"/>
        <v>223</v>
      </c>
      <c r="W225">
        <f t="shared" si="37"/>
        <v>8.6112692501014929E-2</v>
      </c>
      <c r="X225">
        <f t="shared" si="38"/>
        <v>3.7690430030076424E-2</v>
      </c>
      <c r="Y225">
        <f t="shared" si="39"/>
        <v>2.0981572590253277E-2</v>
      </c>
      <c r="Z225">
        <f>100*(P225/$T$5)</f>
        <v>6.2281274913990239E-3</v>
      </c>
      <c r="AA225">
        <f>100*(Q225/$T$6)</f>
        <v>2.7410557923880927E-3</v>
      </c>
    </row>
    <row r="226" spans="1:27" x14ac:dyDescent="0.3">
      <c r="A226">
        <v>5376</v>
      </c>
      <c r="B226">
        <v>3728721.5785387298</v>
      </c>
      <c r="C226">
        <v>49349443.533775702</v>
      </c>
      <c r="D226">
        <v>40877564.406835698</v>
      </c>
      <c r="E226">
        <v>31531394.348149698</v>
      </c>
      <c r="F226">
        <v>38823823.395889997</v>
      </c>
      <c r="G226">
        <v>14334888.6651434</v>
      </c>
      <c r="H226">
        <v>21448863.2221951</v>
      </c>
      <c r="J226">
        <f t="shared" si="40"/>
        <v>224</v>
      </c>
      <c r="K226">
        <f t="shared" si="41"/>
        <v>2.4924609482210761E-5</v>
      </c>
      <c r="L226">
        <f t="shared" si="42"/>
        <v>3.2987595945037232E-4</v>
      </c>
      <c r="M226">
        <f t="shared" si="43"/>
        <v>2.7324575138259154E-4</v>
      </c>
      <c r="N226">
        <f t="shared" si="44"/>
        <v>2.1077135259458355E-4</v>
      </c>
      <c r="O226">
        <f t="shared" si="45"/>
        <v>2.595175360687834E-4</v>
      </c>
      <c r="P226">
        <f t="shared" si="46"/>
        <v>9.582144829641311E-5</v>
      </c>
      <c r="Q226">
        <f t="shared" si="47"/>
        <v>1.4337475415905816E-4</v>
      </c>
      <c r="V226">
        <f t="shared" si="48"/>
        <v>224</v>
      </c>
      <c r="W226">
        <f t="shared" si="37"/>
        <v>8.5239266007848147E-2</v>
      </c>
      <c r="X226">
        <f t="shared" si="38"/>
        <v>3.7793326608933822E-2</v>
      </c>
      <c r="Y226">
        <f t="shared" si="39"/>
        <v>2.1077135259458354E-2</v>
      </c>
      <c r="Z226">
        <f>100*(P226/$T$5)</f>
        <v>6.2874966073761876E-3</v>
      </c>
      <c r="AA226">
        <f>100*(Q226/$T$6)</f>
        <v>2.7550875126644537E-3</v>
      </c>
    </row>
    <row r="227" spans="1:27" x14ac:dyDescent="0.3">
      <c r="A227">
        <v>5400</v>
      </c>
      <c r="B227">
        <v>3762158.6306947698</v>
      </c>
      <c r="C227">
        <v>48848090.079363301</v>
      </c>
      <c r="D227">
        <v>40990737.846560203</v>
      </c>
      <c r="E227">
        <v>31675391.796596199</v>
      </c>
      <c r="F227">
        <v>36409011.3879769</v>
      </c>
      <c r="G227">
        <v>14470969.2300839</v>
      </c>
      <c r="H227">
        <v>21552631.342228901</v>
      </c>
      <c r="J227">
        <f t="shared" si="40"/>
        <v>225</v>
      </c>
      <c r="K227">
        <f t="shared" si="41"/>
        <v>2.5148119189136161E-5</v>
      </c>
      <c r="L227">
        <f t="shared" si="42"/>
        <v>3.2652466630590441E-4</v>
      </c>
      <c r="M227">
        <f t="shared" si="43"/>
        <v>2.7400225833262165E-4</v>
      </c>
      <c r="N227">
        <f t="shared" si="44"/>
        <v>2.1173390238366443E-4</v>
      </c>
      <c r="O227">
        <f t="shared" si="45"/>
        <v>2.4337574457203811E-4</v>
      </c>
      <c r="P227">
        <f t="shared" si="46"/>
        <v>9.6731077741202533E-5</v>
      </c>
      <c r="Q227">
        <f t="shared" si="47"/>
        <v>1.440683913250595E-4</v>
      </c>
      <c r="V227">
        <f t="shared" si="48"/>
        <v>225</v>
      </c>
      <c r="W227">
        <f t="shared" si="37"/>
        <v>8.4373298787055392E-2</v>
      </c>
      <c r="X227">
        <f t="shared" si="38"/>
        <v>3.789796104185638E-2</v>
      </c>
      <c r="Y227">
        <f t="shared" si="39"/>
        <v>2.1173390238366441E-2</v>
      </c>
      <c r="Z227">
        <f>100*(P227/$T$5)</f>
        <v>6.347183578819064E-3</v>
      </c>
      <c r="AA227">
        <f>100*(Q227/$T$6)</f>
        <v>2.7684164359158248E-3</v>
      </c>
    </row>
    <row r="228" spans="1:27" x14ac:dyDescent="0.3">
      <c r="A228">
        <v>5424</v>
      </c>
      <c r="B228">
        <v>3795745.4927450502</v>
      </c>
      <c r="C228">
        <v>48353173.780993998</v>
      </c>
      <c r="D228">
        <v>41105855.5616844</v>
      </c>
      <c r="E228">
        <v>31819428.089648601</v>
      </c>
      <c r="F228">
        <v>33689033.397878297</v>
      </c>
      <c r="G228">
        <v>14607775.7828876</v>
      </c>
      <c r="H228">
        <v>21716631.530226599</v>
      </c>
      <c r="J228">
        <f t="shared" si="40"/>
        <v>226</v>
      </c>
      <c r="K228">
        <f t="shared" si="41"/>
        <v>2.5372630299097929E-5</v>
      </c>
      <c r="L228">
        <f t="shared" si="42"/>
        <v>3.2321640227937163E-4</v>
      </c>
      <c r="M228">
        <f t="shared" si="43"/>
        <v>2.7477176177596521E-4</v>
      </c>
      <c r="N228">
        <f t="shared" si="44"/>
        <v>2.1269671182920188E-4</v>
      </c>
      <c r="O228">
        <f t="shared" si="45"/>
        <v>2.2519407351522926E-4</v>
      </c>
      <c r="P228">
        <f t="shared" si="46"/>
        <v>9.7645560046040106E-5</v>
      </c>
      <c r="Q228">
        <f t="shared" si="47"/>
        <v>1.4516464926622057E-4</v>
      </c>
      <c r="V228">
        <f t="shared" si="48"/>
        <v>226</v>
      </c>
      <c r="W228">
        <f t="shared" si="37"/>
        <v>8.3518450201388011E-2</v>
      </c>
      <c r="X228">
        <f t="shared" si="38"/>
        <v>3.800439305338385E-2</v>
      </c>
      <c r="Y228">
        <f t="shared" si="39"/>
        <v>2.1269671182920186E-2</v>
      </c>
      <c r="Z228">
        <f>100*(P228/$T$5)</f>
        <v>6.4071889793989563E-3</v>
      </c>
      <c r="AA228">
        <f>100*(Q228/$T$6)</f>
        <v>2.7894821150311411E-3</v>
      </c>
    </row>
    <row r="229" spans="1:27" x14ac:dyDescent="0.3">
      <c r="A229">
        <v>5448</v>
      </c>
      <c r="B229">
        <v>3829482.1713093701</v>
      </c>
      <c r="C229">
        <v>47866586.430197299</v>
      </c>
      <c r="D229">
        <v>41222979.0494202</v>
      </c>
      <c r="E229">
        <v>31962324.154343098</v>
      </c>
      <c r="F229">
        <v>30680329.213977698</v>
      </c>
      <c r="G229">
        <v>14745309.687011899</v>
      </c>
      <c r="H229">
        <v>21812567.743518502</v>
      </c>
      <c r="J229">
        <f t="shared" si="40"/>
        <v>227</v>
      </c>
      <c r="K229">
        <f t="shared" si="41"/>
        <v>2.5598142856346057E-5</v>
      </c>
      <c r="L229">
        <f t="shared" si="42"/>
        <v>3.1996381303607817E-4</v>
      </c>
      <c r="M229">
        <f t="shared" si="43"/>
        <v>2.7555467279024199E-4</v>
      </c>
      <c r="N229">
        <f t="shared" si="44"/>
        <v>2.1365189942742713E-4</v>
      </c>
      <c r="O229">
        <f t="shared" si="45"/>
        <v>2.0508241453193649E-4</v>
      </c>
      <c r="P229">
        <f t="shared" si="46"/>
        <v>9.8564904324945847E-5</v>
      </c>
      <c r="Q229">
        <f t="shared" si="47"/>
        <v>1.4580593411442849E-4</v>
      </c>
      <c r="V229">
        <f t="shared" si="48"/>
        <v>227</v>
      </c>
      <c r="W229">
        <f t="shared" si="37"/>
        <v>8.267798786461969E-2</v>
      </c>
      <c r="X229">
        <f t="shared" si="38"/>
        <v>3.8112679500725034E-2</v>
      </c>
      <c r="Y229">
        <f t="shared" si="39"/>
        <v>2.1365189942742713E-2</v>
      </c>
      <c r="Z229">
        <f>100*(P229/$T$5)</f>
        <v>6.467513407148677E-3</v>
      </c>
      <c r="AA229">
        <f>100*(Q229/$T$6)</f>
        <v>2.8018050367876347E-3</v>
      </c>
    </row>
    <row r="230" spans="1:27" x14ac:dyDescent="0.3">
      <c r="A230">
        <v>5472</v>
      </c>
      <c r="B230">
        <v>3863368.67323509</v>
      </c>
      <c r="C230">
        <v>47390031.583677702</v>
      </c>
      <c r="D230">
        <v>41342166.632095397</v>
      </c>
      <c r="E230">
        <v>32102630.332923099</v>
      </c>
      <c r="F230">
        <v>27417714.1207156</v>
      </c>
      <c r="G230">
        <v>14883572.1838136</v>
      </c>
      <c r="H230">
        <v>21957604.3291975</v>
      </c>
      <c r="J230">
        <f t="shared" si="40"/>
        <v>228</v>
      </c>
      <c r="K230">
        <f t="shared" si="41"/>
        <v>2.5824656906651669E-5</v>
      </c>
      <c r="L230">
        <f t="shared" si="42"/>
        <v>3.1677828598715039E-4</v>
      </c>
      <c r="M230">
        <f t="shared" si="43"/>
        <v>2.7635138123058419E-4</v>
      </c>
      <c r="N230">
        <f t="shared" si="44"/>
        <v>2.1458977495269452E-4</v>
      </c>
      <c r="O230">
        <f t="shared" si="45"/>
        <v>1.8327349011173529E-4</v>
      </c>
      <c r="P230">
        <f t="shared" si="46"/>
        <v>9.9489118875759357E-5</v>
      </c>
      <c r="Q230">
        <f t="shared" si="47"/>
        <v>1.4677543000800468E-4</v>
      </c>
      <c r="V230">
        <f t="shared" si="48"/>
        <v>228</v>
      </c>
      <c r="W230">
        <f t="shared" si="37"/>
        <v>8.185485426024558E-2</v>
      </c>
      <c r="X230">
        <f t="shared" si="38"/>
        <v>3.8222874305751622E-2</v>
      </c>
      <c r="Y230">
        <f t="shared" si="39"/>
        <v>2.1458977495269451E-2</v>
      </c>
      <c r="Z230">
        <f>100*(P230/$T$5)</f>
        <v>6.5281574065458895E-3</v>
      </c>
      <c r="AA230">
        <f>100*(Q230/$T$6)</f>
        <v>2.8204348579555089E-3</v>
      </c>
    </row>
    <row r="231" spans="1:27" x14ac:dyDescent="0.3">
      <c r="A231">
        <v>5496</v>
      </c>
      <c r="B231">
        <v>3897405.0055565299</v>
      </c>
      <c r="C231">
        <v>46925059.120964304</v>
      </c>
      <c r="D231">
        <v>41463473.394031897</v>
      </c>
      <c r="E231">
        <v>32238556.8217545</v>
      </c>
      <c r="F231">
        <v>23977003.5442493</v>
      </c>
      <c r="G231">
        <v>15022564.3502982</v>
      </c>
      <c r="H231">
        <v>21951021.615037199</v>
      </c>
      <c r="J231">
        <f t="shared" si="40"/>
        <v>229</v>
      </c>
      <c r="K231">
        <f t="shared" si="41"/>
        <v>2.6052172497035628E-5</v>
      </c>
      <c r="L231">
        <f t="shared" si="42"/>
        <v>3.1367018128986831E-4</v>
      </c>
      <c r="M231">
        <f t="shared" si="43"/>
        <v>2.7716225530769985E-4</v>
      </c>
      <c r="N231">
        <f t="shared" si="44"/>
        <v>2.1549837447696859E-4</v>
      </c>
      <c r="O231">
        <f t="shared" si="45"/>
        <v>1.60274087862629E-4</v>
      </c>
      <c r="P231">
        <f t="shared" si="46"/>
        <v>1.0041821089771524E-4</v>
      </c>
      <c r="Q231">
        <f t="shared" si="47"/>
        <v>1.4673142790800267E-4</v>
      </c>
      <c r="V231">
        <f t="shared" si="48"/>
        <v>229</v>
      </c>
      <c r="W231">
        <f t="shared" si="37"/>
        <v>8.1051726431490528E-2</v>
      </c>
      <c r="X231">
        <f t="shared" si="38"/>
        <v>3.8335028396638986E-2</v>
      </c>
      <c r="Y231">
        <f t="shared" si="39"/>
        <v>2.1549837447696858E-2</v>
      </c>
      <c r="Z231">
        <f>100*(P231/$T$5)</f>
        <v>6.5891214499813142E-3</v>
      </c>
      <c r="AA231">
        <f>100*(Q231/$T$6)</f>
        <v>2.819589314143018E-3</v>
      </c>
    </row>
    <row r="232" spans="1:27" x14ac:dyDescent="0.3">
      <c r="A232">
        <v>5520</v>
      </c>
      <c r="B232">
        <v>3931591.1754638101</v>
      </c>
      <c r="C232">
        <v>46473095.8991156</v>
      </c>
      <c r="D232">
        <v>41586951.1246197</v>
      </c>
      <c r="E232">
        <v>32367964.536088798</v>
      </c>
      <c r="F232">
        <v>20517132.425512299</v>
      </c>
      <c r="G232">
        <v>15162287.2639114</v>
      </c>
      <c r="H232">
        <v>21926533.905578099</v>
      </c>
      <c r="J232">
        <f t="shared" si="40"/>
        <v>230</v>
      </c>
      <c r="K232">
        <f t="shared" si="41"/>
        <v>2.6280689675560228E-5</v>
      </c>
      <c r="L232">
        <f t="shared" si="42"/>
        <v>3.1064903675879412E-4</v>
      </c>
      <c r="M232">
        <f t="shared" si="43"/>
        <v>2.7798764120735093E-4</v>
      </c>
      <c r="N232">
        <f t="shared" si="44"/>
        <v>2.1636339930540641E-4</v>
      </c>
      <c r="O232">
        <f t="shared" si="45"/>
        <v>1.3714660712240841E-4</v>
      </c>
      <c r="P232">
        <f t="shared" si="46"/>
        <v>1.0135218759299064E-4</v>
      </c>
      <c r="Q232">
        <f t="shared" si="47"/>
        <v>1.465677400105488E-4</v>
      </c>
      <c r="V232">
        <f t="shared" si="48"/>
        <v>230</v>
      </c>
      <c r="W232">
        <f t="shared" si="37"/>
        <v>8.0271068929920961E-2</v>
      </c>
      <c r="X232">
        <f t="shared" si="38"/>
        <v>3.8449189655235264E-2</v>
      </c>
      <c r="Y232">
        <f t="shared" si="39"/>
        <v>2.1636339930540642E-2</v>
      </c>
      <c r="Z232">
        <f>100*(P232/$T$5)</f>
        <v>6.6504060100387556E-3</v>
      </c>
      <c r="AA232">
        <f>100*(Q232/$T$6)</f>
        <v>2.8164438895186164E-3</v>
      </c>
    </row>
    <row r="233" spans="1:27" x14ac:dyDescent="0.3">
      <c r="A233">
        <v>5544</v>
      </c>
      <c r="B233">
        <v>3965927.1902749501</v>
      </c>
      <c r="C233">
        <v>46035472.728655398</v>
      </c>
      <c r="D233">
        <v>41712648.263694197</v>
      </c>
      <c r="E233">
        <v>32488467.8503992</v>
      </c>
      <c r="F233">
        <v>17356183.103426199</v>
      </c>
      <c r="G233">
        <v>15302742.153709199</v>
      </c>
      <c r="H233">
        <v>21965519.263134301</v>
      </c>
      <c r="J233">
        <f t="shared" si="40"/>
        <v>231</v>
      </c>
      <c r="K233">
        <f t="shared" si="41"/>
        <v>2.6510208491142714E-5</v>
      </c>
      <c r="L233">
        <f t="shared" si="42"/>
        <v>3.0772374818619917E-4</v>
      </c>
      <c r="M233">
        <f t="shared" si="43"/>
        <v>2.788278627252286E-4</v>
      </c>
      <c r="N233">
        <f t="shared" si="44"/>
        <v>2.1716890274331015E-4</v>
      </c>
      <c r="O233">
        <f t="shared" si="45"/>
        <v>1.1601726673413235E-4</v>
      </c>
      <c r="P233">
        <f t="shared" si="46"/>
        <v>1.0229105717720053E-4</v>
      </c>
      <c r="Q233">
        <f t="shared" si="47"/>
        <v>1.4682833732041644E-4</v>
      </c>
      <c r="V233">
        <f t="shared" si="48"/>
        <v>231</v>
      </c>
      <c r="W233">
        <f t="shared" si="37"/>
        <v>7.9515180409870587E-2</v>
      </c>
      <c r="X233">
        <f t="shared" si="38"/>
        <v>3.8565402866559968E-2</v>
      </c>
      <c r="Y233">
        <f t="shared" si="39"/>
        <v>2.1716890274331015E-2</v>
      </c>
      <c r="Z233">
        <f>100*(P233/$T$5)</f>
        <v>6.7120116258005593E-3</v>
      </c>
      <c r="AA233">
        <f>100*(Q233/$T$6)</f>
        <v>2.8214515242201473E-3</v>
      </c>
    </row>
    <row r="234" spans="1:27" x14ac:dyDescent="0.3">
      <c r="A234">
        <v>5568</v>
      </c>
      <c r="B234">
        <v>4000413.0574088702</v>
      </c>
      <c r="C234">
        <v>45613447.951310404</v>
      </c>
      <c r="D234">
        <v>41840609.853961498</v>
      </c>
      <c r="E234">
        <v>32597688.812285699</v>
      </c>
      <c r="F234">
        <v>15071300.820039799</v>
      </c>
      <c r="G234">
        <v>15443930.362835599</v>
      </c>
      <c r="H234">
        <v>22048065.297272</v>
      </c>
      <c r="J234">
        <f t="shared" si="40"/>
        <v>232</v>
      </c>
      <c r="K234">
        <f t="shared" si="41"/>
        <v>2.6740728993374802E-5</v>
      </c>
      <c r="L234">
        <f t="shared" si="42"/>
        <v>3.0490272694726206E-4</v>
      </c>
      <c r="M234">
        <f t="shared" si="43"/>
        <v>2.7968322094894048E-4</v>
      </c>
      <c r="N234">
        <f t="shared" si="44"/>
        <v>2.1789898938693648E-4</v>
      </c>
      <c r="O234">
        <f t="shared" si="45"/>
        <v>1.0074398943876872E-4</v>
      </c>
      <c r="P234">
        <f t="shared" si="46"/>
        <v>1.032348286285802E-4</v>
      </c>
      <c r="Q234">
        <f t="shared" si="47"/>
        <v>1.4738011562347595E-4</v>
      </c>
      <c r="V234">
        <f t="shared" si="48"/>
        <v>232</v>
      </c>
      <c r="W234">
        <f t="shared" si="37"/>
        <v>7.8786234353297693E-2</v>
      </c>
      <c r="X234">
        <f t="shared" si="38"/>
        <v>3.8683709674818878E-2</v>
      </c>
      <c r="Y234">
        <f t="shared" si="39"/>
        <v>2.1789898938693649E-2</v>
      </c>
      <c r="Z234">
        <f>100*(P234/$T$5)</f>
        <v>6.7739388863897769E-3</v>
      </c>
      <c r="AA234">
        <f>100*(Q234/$T$6)</f>
        <v>2.8320544893058407E-3</v>
      </c>
    </row>
    <row r="235" spans="1:27" x14ac:dyDescent="0.3">
      <c r="A235">
        <v>5592</v>
      </c>
      <c r="B235">
        <v>4035048.7843623501</v>
      </c>
      <c r="C235">
        <v>45208227.921112999</v>
      </c>
      <c r="D235">
        <v>41970877.500112303</v>
      </c>
      <c r="E235">
        <v>32693652.074301399</v>
      </c>
      <c r="F235">
        <v>14433855.705102401</v>
      </c>
      <c r="G235">
        <v>15585853.210335599</v>
      </c>
      <c r="H235">
        <v>22211019.220341802</v>
      </c>
      <c r="J235">
        <f t="shared" si="40"/>
        <v>233</v>
      </c>
      <c r="K235">
        <f t="shared" si="41"/>
        <v>2.6972251232368651E-5</v>
      </c>
      <c r="L235">
        <f t="shared" si="42"/>
        <v>3.0219403690583558E-4</v>
      </c>
      <c r="M235">
        <f t="shared" si="43"/>
        <v>2.8055399398470792E-4</v>
      </c>
      <c r="N235">
        <f t="shared" si="44"/>
        <v>2.1854045504212166E-4</v>
      </c>
      <c r="O235">
        <f t="shared" si="45"/>
        <v>9.6482992681165786E-5</v>
      </c>
      <c r="P235">
        <f t="shared" si="46"/>
        <v>1.041835107642754E-4</v>
      </c>
      <c r="Q235">
        <f t="shared" si="47"/>
        <v>1.48469379815119E-4</v>
      </c>
      <c r="V235">
        <f t="shared" si="48"/>
        <v>233</v>
      </c>
      <c r="W235">
        <f t="shared" si="37"/>
        <v>7.8086314445952348E-2</v>
      </c>
      <c r="X235">
        <f t="shared" si="38"/>
        <v>3.8804148545602761E-2</v>
      </c>
      <c r="Y235">
        <f t="shared" si="39"/>
        <v>2.1854045504212168E-2</v>
      </c>
      <c r="Z235">
        <f>100*(P235/$T$5)</f>
        <v>6.836188370359278E-3</v>
      </c>
      <c r="AA235">
        <f>100*(Q235/$T$6)</f>
        <v>2.8529857766164297E-3</v>
      </c>
    </row>
    <row r="236" spans="1:27" x14ac:dyDescent="0.3">
      <c r="A236">
        <v>5616</v>
      </c>
      <c r="B236">
        <v>4069834.3786939899</v>
      </c>
      <c r="C236">
        <v>44820984.690314397</v>
      </c>
      <c r="D236">
        <v>42103489.329641499</v>
      </c>
      <c r="E236">
        <v>32775226.8857814</v>
      </c>
      <c r="F236">
        <v>15832812.329293299</v>
      </c>
      <c r="G236">
        <v>15728511.925019</v>
      </c>
      <c r="H236">
        <v>22339851.518538401</v>
      </c>
      <c r="J236">
        <f t="shared" si="40"/>
        <v>234</v>
      </c>
      <c r="K236">
        <f t="shared" si="41"/>
        <v>2.7204775258649665E-5</v>
      </c>
      <c r="L236">
        <f t="shared" si="42"/>
        <v>2.9960551263579144E-4</v>
      </c>
      <c r="M236">
        <f t="shared" si="43"/>
        <v>2.8144043669546455E-4</v>
      </c>
      <c r="N236">
        <f t="shared" si="44"/>
        <v>2.190857412151163E-4</v>
      </c>
      <c r="O236">
        <f t="shared" si="45"/>
        <v>1.0583430701399264E-4</v>
      </c>
      <c r="P236">
        <f t="shared" si="46"/>
        <v>1.0513711179825535E-4</v>
      </c>
      <c r="Q236">
        <f t="shared" si="47"/>
        <v>1.49330558279E-4</v>
      </c>
      <c r="V236">
        <f t="shared" si="48"/>
        <v>234</v>
      </c>
      <c r="W236">
        <f t="shared" si="37"/>
        <v>7.7417445125527493E-2</v>
      </c>
      <c r="X236">
        <f t="shared" si="38"/>
        <v>3.8926754729663143E-2</v>
      </c>
      <c r="Y236">
        <f t="shared" si="39"/>
        <v>2.1908574121511631E-2</v>
      </c>
      <c r="Z236">
        <f>100*(P236/$T$5)</f>
        <v>6.8987606166834225E-3</v>
      </c>
      <c r="AA236">
        <f>100*(Q236/$T$6)</f>
        <v>2.8695341713873947E-3</v>
      </c>
    </row>
    <row r="237" spans="1:27" x14ac:dyDescent="0.3">
      <c r="A237">
        <v>5640</v>
      </c>
      <c r="B237">
        <v>4104769.84799885</v>
      </c>
      <c r="C237">
        <v>44452871.180462003</v>
      </c>
      <c r="D237">
        <v>42238479.964260399</v>
      </c>
      <c r="E237">
        <v>32842455.215838999</v>
      </c>
      <c r="F237">
        <v>18831444.1947232</v>
      </c>
      <c r="G237">
        <v>15871907.723929999</v>
      </c>
      <c r="H237">
        <v>22554125.829791099</v>
      </c>
      <c r="J237">
        <f t="shared" si="40"/>
        <v>235</v>
      </c>
      <c r="K237">
        <f t="shared" si="41"/>
        <v>2.7438301122986965E-5</v>
      </c>
      <c r="L237">
        <f t="shared" si="42"/>
        <v>2.9714486083196528E-4</v>
      </c>
      <c r="M237">
        <f t="shared" si="43"/>
        <v>2.8234278050976201E-4</v>
      </c>
      <c r="N237">
        <f t="shared" si="44"/>
        <v>2.1953512844812164E-4</v>
      </c>
      <c r="O237">
        <f t="shared" si="45"/>
        <v>1.2587863766526204E-4</v>
      </c>
      <c r="P237">
        <f t="shared" si="46"/>
        <v>1.0609563986584224E-4</v>
      </c>
      <c r="Q237">
        <f t="shared" si="47"/>
        <v>1.5076287319379077E-4</v>
      </c>
      <c r="V237">
        <f t="shared" si="48"/>
        <v>235</v>
      </c>
      <c r="W237">
        <f t="shared" si="37"/>
        <v>7.6781617786037537E-2</v>
      </c>
      <c r="X237">
        <f t="shared" si="38"/>
        <v>3.9051560236481611E-2</v>
      </c>
      <c r="Y237">
        <f t="shared" si="39"/>
        <v>2.1953512844812163E-2</v>
      </c>
      <c r="Z237">
        <f>100*(P237/$T$5)</f>
        <v>6.9616561591759997E-3</v>
      </c>
      <c r="AA237">
        <f>100*(Q237/$T$6)</f>
        <v>2.8970575171750725E-3</v>
      </c>
    </row>
    <row r="238" spans="1:27" x14ac:dyDescent="0.3">
      <c r="A238">
        <v>5664</v>
      </c>
      <c r="B238">
        <v>4139855.1999079799</v>
      </c>
      <c r="C238">
        <v>44105034.0966103</v>
      </c>
      <c r="D238">
        <v>42375880.492389999</v>
      </c>
      <c r="E238">
        <v>32896619.9950682</v>
      </c>
      <c r="F238">
        <v>22688103.581853401</v>
      </c>
      <c r="G238">
        <v>16016041.8677167</v>
      </c>
      <c r="H238">
        <v>22625008.482625101</v>
      </c>
      <c r="J238">
        <f t="shared" si="40"/>
        <v>236</v>
      </c>
      <c r="K238">
        <f t="shared" si="41"/>
        <v>2.7672828876390239E-5</v>
      </c>
      <c r="L238">
        <f t="shared" si="42"/>
        <v>2.9481974663509558E-4</v>
      </c>
      <c r="M238">
        <f t="shared" si="43"/>
        <v>2.8326123323790109E-4</v>
      </c>
      <c r="N238">
        <f t="shared" si="44"/>
        <v>2.198971924804024E-4</v>
      </c>
      <c r="O238">
        <f t="shared" si="45"/>
        <v>1.5165844640276338E-4</v>
      </c>
      <c r="P238">
        <f t="shared" si="46"/>
        <v>1.0705910339382821E-4</v>
      </c>
      <c r="Q238">
        <f t="shared" si="47"/>
        <v>1.5123668771808223E-4</v>
      </c>
      <c r="V238">
        <f t="shared" si="48"/>
        <v>236</v>
      </c>
      <c r="W238">
        <f t="shared" si="37"/>
        <v>7.6180813084004026E-2</v>
      </c>
      <c r="X238">
        <f t="shared" si="38"/>
        <v>3.9178593808838327E-2</v>
      </c>
      <c r="Y238">
        <f t="shared" si="39"/>
        <v>2.1989719248040239E-2</v>
      </c>
      <c r="Z238">
        <f>100*(P238/$T$5)</f>
        <v>7.0248755507761303E-3</v>
      </c>
      <c r="AA238">
        <f>100*(Q238/$T$6)</f>
        <v>2.9061623312467764E-3</v>
      </c>
    </row>
    <row r="239" spans="1:27" x14ac:dyDescent="0.3">
      <c r="A239">
        <v>5688</v>
      </c>
      <c r="B239">
        <v>4175090.44206275</v>
      </c>
      <c r="C239">
        <v>43778624.807036802</v>
      </c>
      <c r="D239">
        <v>42515718.450681403</v>
      </c>
      <c r="E239">
        <v>32940019.4963485</v>
      </c>
      <c r="F239">
        <v>26844840.4245428</v>
      </c>
      <c r="G239">
        <v>16160915.611358101</v>
      </c>
      <c r="H239">
        <v>22687979.186436299</v>
      </c>
      <c r="J239">
        <f t="shared" si="40"/>
        <v>237</v>
      </c>
      <c r="K239">
        <f t="shared" si="41"/>
        <v>2.7908358569938167E-5</v>
      </c>
      <c r="L239">
        <f t="shared" si="42"/>
        <v>2.9263786635719789E-4</v>
      </c>
      <c r="M239">
        <f t="shared" si="43"/>
        <v>2.8419597894840509E-4</v>
      </c>
      <c r="N239">
        <f t="shared" si="44"/>
        <v>2.2018729609858624E-4</v>
      </c>
      <c r="O239">
        <f t="shared" si="45"/>
        <v>1.7944412048491177E-4</v>
      </c>
      <c r="P239">
        <f t="shared" si="46"/>
        <v>1.080275107711103E-4</v>
      </c>
      <c r="Q239">
        <f t="shared" si="47"/>
        <v>1.5165761488259558E-4</v>
      </c>
      <c r="V239">
        <f t="shared" si="48"/>
        <v>237</v>
      </c>
      <c r="W239">
        <f t="shared" si="37"/>
        <v>7.5617019730542093E-2</v>
      </c>
      <c r="X239">
        <f t="shared" si="38"/>
        <v>3.9307880905726844E-2</v>
      </c>
      <c r="Y239">
        <f t="shared" si="39"/>
        <v>2.2018729609858623E-2</v>
      </c>
      <c r="Z239">
        <f>100*(P239/$T$5)</f>
        <v>7.0884193419363719E-3</v>
      </c>
      <c r="AA239">
        <f>100*(Q239/$T$6)</f>
        <v>2.9142508624634047E-3</v>
      </c>
    </row>
    <row r="240" spans="1:27" x14ac:dyDescent="0.3">
      <c r="A240">
        <v>5712</v>
      </c>
      <c r="B240">
        <v>4210475.5821086299</v>
      </c>
      <c r="C240">
        <v>43474808.386789598</v>
      </c>
      <c r="D240">
        <v>42658017.805770397</v>
      </c>
      <c r="E240">
        <v>32975549.756650001</v>
      </c>
      <c r="F240">
        <v>30963208.902864501</v>
      </c>
      <c r="G240">
        <v>16306530.1339137</v>
      </c>
      <c r="H240">
        <v>22779458.6278059</v>
      </c>
      <c r="J240">
        <f t="shared" si="40"/>
        <v>238</v>
      </c>
      <c r="K240">
        <f t="shared" si="41"/>
        <v>2.8144890254736829E-5</v>
      </c>
      <c r="L240">
        <f t="shared" si="42"/>
        <v>2.9060700793308552E-4</v>
      </c>
      <c r="M240">
        <f t="shared" si="43"/>
        <v>2.8514717784605882E-4</v>
      </c>
      <c r="N240">
        <f t="shared" si="44"/>
        <v>2.2042479783856953E-4</v>
      </c>
      <c r="O240">
        <f t="shared" si="45"/>
        <v>2.069733215432119E-4</v>
      </c>
      <c r="P240">
        <f t="shared" si="46"/>
        <v>1.0900086987910227E-4</v>
      </c>
      <c r="Q240">
        <f t="shared" si="47"/>
        <v>1.5226910847463836E-4</v>
      </c>
      <c r="V240">
        <f t="shared" si="48"/>
        <v>238</v>
      </c>
      <c r="W240">
        <f t="shared" si="37"/>
        <v>7.5092250111908412E-2</v>
      </c>
      <c r="X240">
        <f t="shared" si="38"/>
        <v>3.9439443685485312E-2</v>
      </c>
      <c r="Y240">
        <f t="shared" si="39"/>
        <v>2.2042479783856952E-2</v>
      </c>
      <c r="Z240">
        <f>100*(P240/$T$5)</f>
        <v>7.1522880498098599E-3</v>
      </c>
      <c r="AA240">
        <f>100*(Q240/$T$6)</f>
        <v>2.9260013158078084E-3</v>
      </c>
    </row>
    <row r="241" spans="1:27" x14ac:dyDescent="0.3">
      <c r="A241">
        <v>5736</v>
      </c>
      <c r="B241">
        <v>4246010.6276880996</v>
      </c>
      <c r="C241">
        <v>43194770.987806603</v>
      </c>
      <c r="D241">
        <v>42802798.947678298</v>
      </c>
      <c r="E241">
        <v>33006259.817046002</v>
      </c>
      <c r="F241">
        <v>34845636.546666197</v>
      </c>
      <c r="G241">
        <v>16452886.600209501</v>
      </c>
      <c r="H241">
        <v>22921751.278190698</v>
      </c>
      <c r="J241">
        <f t="shared" si="40"/>
        <v>239</v>
      </c>
      <c r="K241">
        <f t="shared" si="41"/>
        <v>2.8382423981872323E-5</v>
      </c>
      <c r="L241">
        <f t="shared" si="42"/>
        <v>2.8873510018587303E-4</v>
      </c>
      <c r="M241">
        <f t="shared" si="43"/>
        <v>2.8611496622779609E-4</v>
      </c>
      <c r="N241">
        <f t="shared" si="44"/>
        <v>2.2063007899094921E-4</v>
      </c>
      <c r="O241">
        <f t="shared" si="45"/>
        <v>2.3292537798573661E-4</v>
      </c>
      <c r="P241">
        <f t="shared" si="46"/>
        <v>1.0997918850407421E-4</v>
      </c>
      <c r="Q241">
        <f t="shared" si="47"/>
        <v>1.5322026255475065E-4</v>
      </c>
      <c r="V241">
        <f t="shared" si="48"/>
        <v>239</v>
      </c>
      <c r="W241">
        <f t="shared" si="37"/>
        <v>7.4608553019605436E-2</v>
      </c>
      <c r="X241">
        <f t="shared" si="38"/>
        <v>3.9573300999695173E-2</v>
      </c>
      <c r="Y241">
        <f t="shared" si="39"/>
        <v>2.2063007899094919E-2</v>
      </c>
      <c r="Z241">
        <f>100*(P241/$T$5)</f>
        <v>7.2164821853067072E-3</v>
      </c>
      <c r="AA241">
        <f>100*(Q241/$T$6)</f>
        <v>2.9442786809137328E-3</v>
      </c>
    </row>
    <row r="242" spans="1:27" x14ac:dyDescent="0.3">
      <c r="A242">
        <v>5760</v>
      </c>
      <c r="B242">
        <v>4281695.5864265896</v>
      </c>
      <c r="C242">
        <v>42939725.673162498</v>
      </c>
      <c r="D242">
        <v>42950078.683697</v>
      </c>
      <c r="E242">
        <v>33035008.1816113</v>
      </c>
      <c r="F242">
        <v>38377483.110232703</v>
      </c>
      <c r="G242">
        <v>16599986.3023629</v>
      </c>
      <c r="H242">
        <v>23108597.317468401</v>
      </c>
      <c r="J242">
        <f t="shared" si="40"/>
        <v>240</v>
      </c>
      <c r="K242">
        <f t="shared" si="41"/>
        <v>2.8620959802316774E-5</v>
      </c>
      <c r="L242">
        <f t="shared" si="42"/>
        <v>2.8703025182595253E-4</v>
      </c>
      <c r="M242">
        <f t="shared" si="43"/>
        <v>2.8709945644182484E-4</v>
      </c>
      <c r="N242">
        <f t="shared" si="44"/>
        <v>2.208222472032841E-4</v>
      </c>
      <c r="O242">
        <f t="shared" si="45"/>
        <v>2.5653397800957689E-4</v>
      </c>
      <c r="P242">
        <f t="shared" si="46"/>
        <v>1.1096247528317447E-4</v>
      </c>
      <c r="Q242">
        <f t="shared" si="47"/>
        <v>1.5446923340553745E-4</v>
      </c>
      <c r="V242">
        <f t="shared" si="48"/>
        <v>240</v>
      </c>
      <c r="W242">
        <f t="shared" si="37"/>
        <v>7.4168023727636312E-2</v>
      </c>
      <c r="X242">
        <f t="shared" si="38"/>
        <v>3.970946838752764E-2</v>
      </c>
      <c r="Y242">
        <f t="shared" si="39"/>
        <v>2.2082224720328409E-2</v>
      </c>
      <c r="Z242">
        <f>100*(P242/$T$5)</f>
        <v>7.2810023151689282E-3</v>
      </c>
      <c r="AA242">
        <f>100*(Q242/$T$6)</f>
        <v>2.9682788894223188E-3</v>
      </c>
    </row>
    <row r="243" spans="1:27" x14ac:dyDescent="0.3">
      <c r="A243">
        <v>5784</v>
      </c>
      <c r="B243">
        <v>4317530.4659279902</v>
      </c>
      <c r="C243">
        <v>42710916.832684003</v>
      </c>
      <c r="D243">
        <v>43099870.238116898</v>
      </c>
      <c r="E243">
        <v>33064265.546223201</v>
      </c>
      <c r="F243">
        <v>41493334.479085602</v>
      </c>
      <c r="G243">
        <v>16747830.668707799</v>
      </c>
      <c r="H243">
        <v>23243445.996548001</v>
      </c>
      <c r="J243">
        <f t="shared" si="40"/>
        <v>241</v>
      </c>
      <c r="K243">
        <f t="shared" si="41"/>
        <v>2.8860497766898329E-5</v>
      </c>
      <c r="L243">
        <f t="shared" si="42"/>
        <v>2.8550078096713905E-4</v>
      </c>
      <c r="M243">
        <f t="shared" si="43"/>
        <v>2.8810073688580813E-4</v>
      </c>
      <c r="N243">
        <f t="shared" si="44"/>
        <v>2.2101781782234761E-4</v>
      </c>
      <c r="O243">
        <f t="shared" si="45"/>
        <v>2.7736186149121393E-4</v>
      </c>
      <c r="P243">
        <f t="shared" si="46"/>
        <v>1.1195073976408957E-4</v>
      </c>
      <c r="Q243">
        <f t="shared" si="47"/>
        <v>1.5537062831917113E-4</v>
      </c>
      <c r="V243">
        <f t="shared" si="48"/>
        <v>241</v>
      </c>
      <c r="W243">
        <f t="shared" si="37"/>
        <v>7.3772811619415776E-2</v>
      </c>
      <c r="X243">
        <f t="shared" si="38"/>
        <v>3.9847958075492136E-2</v>
      </c>
      <c r="Y243">
        <f t="shared" si="39"/>
        <v>2.2101781782234761E-2</v>
      </c>
      <c r="Z243">
        <f>100*(P243/$T$5)</f>
        <v>7.3458490658851426E-3</v>
      </c>
      <c r="AA243">
        <f>100*(Q243/$T$6)</f>
        <v>2.9856000829971397E-3</v>
      </c>
    </row>
    <row r="244" spans="1:27" x14ac:dyDescent="0.3">
      <c r="A244">
        <v>5808</v>
      </c>
      <c r="B244">
        <v>4353515.2737676799</v>
      </c>
      <c r="C244">
        <v>42509623.270881802</v>
      </c>
      <c r="D244">
        <v>43252183.256927699</v>
      </c>
      <c r="E244">
        <v>33096041.7593631</v>
      </c>
      <c r="F244">
        <v>44157293.636031099</v>
      </c>
      <c r="G244">
        <v>16896421.089889701</v>
      </c>
      <c r="H244">
        <v>23443124.8481039</v>
      </c>
      <c r="J244">
        <f t="shared" si="40"/>
        <v>242</v>
      </c>
      <c r="K244">
        <f t="shared" si="41"/>
        <v>2.9101037926254546E-5</v>
      </c>
      <c r="L244">
        <f t="shared" si="42"/>
        <v>2.8415523576792647E-4</v>
      </c>
      <c r="M244">
        <f t="shared" si="43"/>
        <v>2.8911887203828673E-4</v>
      </c>
      <c r="N244">
        <f t="shared" si="44"/>
        <v>2.2123022566419184E-4</v>
      </c>
      <c r="O244">
        <f t="shared" si="45"/>
        <v>2.9516907510715977E-4</v>
      </c>
      <c r="P244">
        <f t="shared" si="46"/>
        <v>1.1294399124257822E-4</v>
      </c>
      <c r="Q244">
        <f t="shared" si="47"/>
        <v>1.5670538000069452E-4</v>
      </c>
      <c r="V244">
        <f t="shared" si="48"/>
        <v>242</v>
      </c>
      <c r="W244">
        <f t="shared" si="37"/>
        <v>7.342512552142802E-2</v>
      </c>
      <c r="X244">
        <f t="shared" si="38"/>
        <v>3.9988778981782394E-2</v>
      </c>
      <c r="Y244">
        <f t="shared" si="39"/>
        <v>2.2123022566419185E-2</v>
      </c>
      <c r="Z244">
        <f>100*(P244/$T$5)</f>
        <v>7.4110230474132696E-3</v>
      </c>
      <c r="AA244">
        <f>100*(Q244/$T$6)</f>
        <v>3.0112486548942068E-3</v>
      </c>
    </row>
    <row r="245" spans="1:27" x14ac:dyDescent="0.3">
      <c r="A245">
        <v>5832</v>
      </c>
      <c r="B245">
        <v>4389650.0174875902</v>
      </c>
      <c r="C245">
        <v>42337160.052230597</v>
      </c>
      <c r="D245">
        <v>43407023.818426698</v>
      </c>
      <c r="E245">
        <v>33131888.842156</v>
      </c>
      <c r="F245">
        <v>46351322.209793001</v>
      </c>
      <c r="G245">
        <v>17045758.781997599</v>
      </c>
      <c r="H245">
        <v>23474182.069177799</v>
      </c>
      <c r="J245">
        <f t="shared" si="40"/>
        <v>243</v>
      </c>
      <c r="K245">
        <f t="shared" si="41"/>
        <v>2.9342580330799401E-5</v>
      </c>
      <c r="L245">
        <f t="shared" si="42"/>
        <v>2.8300240676624728E-4</v>
      </c>
      <c r="M245">
        <f t="shared" si="43"/>
        <v>2.9015390252959021E-4</v>
      </c>
      <c r="N245">
        <f t="shared" si="44"/>
        <v>2.2146984520157755E-4</v>
      </c>
      <c r="O245">
        <f t="shared" si="45"/>
        <v>3.0983504150931151E-4</v>
      </c>
      <c r="P245">
        <f t="shared" si="46"/>
        <v>1.1394223784757753E-4</v>
      </c>
      <c r="Q245">
        <f t="shared" si="47"/>
        <v>1.5691298174584089E-4</v>
      </c>
      <c r="V245">
        <f t="shared" si="48"/>
        <v>243</v>
      </c>
      <c r="W245">
        <f t="shared" si="37"/>
        <v>7.3127236890503169E-2</v>
      </c>
      <c r="X245">
        <f t="shared" si="38"/>
        <v>4.0131936726084401E-2</v>
      </c>
      <c r="Y245">
        <f t="shared" si="39"/>
        <v>2.2146984520157755E-2</v>
      </c>
      <c r="Z245">
        <f>100*(P245/$T$5)</f>
        <v>7.4765247931481314E-3</v>
      </c>
      <c r="AA245">
        <f>100*(Q245/$T$6)</f>
        <v>3.0152379274758054E-3</v>
      </c>
    </row>
    <row r="246" spans="1:27" x14ac:dyDescent="0.3">
      <c r="A246">
        <v>5856</v>
      </c>
      <c r="B246">
        <v>4425934.7045854703</v>
      </c>
      <c r="C246">
        <v>42194879.167773299</v>
      </c>
      <c r="D246">
        <v>43564394.449042097</v>
      </c>
      <c r="E246">
        <v>33172937.2270041</v>
      </c>
      <c r="F246">
        <v>48068530.030772097</v>
      </c>
      <c r="G246">
        <v>17195844.8645471</v>
      </c>
      <c r="H246">
        <v>23481325.135354798</v>
      </c>
      <c r="J246">
        <f t="shared" si="40"/>
        <v>244</v>
      </c>
      <c r="K246">
        <f t="shared" si="41"/>
        <v>2.9585125030651538E-5</v>
      </c>
      <c r="L246">
        <f t="shared" si="42"/>
        <v>2.8205133133538303E-4</v>
      </c>
      <c r="M246">
        <f t="shared" si="43"/>
        <v>2.9120584524760758E-4</v>
      </c>
      <c r="N246">
        <f t="shared" si="44"/>
        <v>2.2174423280082954E-4</v>
      </c>
      <c r="O246">
        <f t="shared" si="45"/>
        <v>3.2131370341425197E-4</v>
      </c>
      <c r="P246">
        <f t="shared" si="46"/>
        <v>1.1494548706248062E-4</v>
      </c>
      <c r="Q246">
        <f t="shared" si="47"/>
        <v>1.5696072951440373E-4</v>
      </c>
      <c r="V246">
        <f t="shared" si="48"/>
        <v>244</v>
      </c>
      <c r="W246">
        <f t="shared" si="37"/>
        <v>7.2881480965215253E-2</v>
      </c>
      <c r="X246">
        <f t="shared" si="38"/>
        <v>4.0277433644205753E-2</v>
      </c>
      <c r="Y246">
        <f t="shared" si="39"/>
        <v>2.2174423280082955E-2</v>
      </c>
      <c r="Z246">
        <f>100*(P246/$T$5)</f>
        <v>7.5423547941260247E-3</v>
      </c>
      <c r="AA246">
        <f>100*(Q246/$T$6)</f>
        <v>3.0161554480092954E-3</v>
      </c>
    </row>
    <row r="247" spans="1:27" x14ac:dyDescent="0.3">
      <c r="A247">
        <v>5880</v>
      </c>
      <c r="B247">
        <v>4462369.3425171096</v>
      </c>
      <c r="C247">
        <v>42084169.089086197</v>
      </c>
      <c r="D247">
        <v>43724294.138305202</v>
      </c>
      <c r="E247">
        <v>33219939.932652399</v>
      </c>
      <c r="F247">
        <v>49309502.059997</v>
      </c>
      <c r="G247">
        <v>17346680.549892399</v>
      </c>
      <c r="H247">
        <v>23475905.381000299</v>
      </c>
      <c r="J247">
        <f t="shared" si="40"/>
        <v>245</v>
      </c>
      <c r="K247">
        <f t="shared" si="41"/>
        <v>2.9828672075649127E-5</v>
      </c>
      <c r="L247">
        <f t="shared" si="42"/>
        <v>2.8131129070244786E-4</v>
      </c>
      <c r="M247">
        <f t="shared" si="43"/>
        <v>2.92274693437869E-4</v>
      </c>
      <c r="N247">
        <f t="shared" si="44"/>
        <v>2.2205842200970856E-4</v>
      </c>
      <c r="O247">
        <f t="shared" si="45"/>
        <v>3.2960897098928475E-4</v>
      </c>
      <c r="P247">
        <f t="shared" si="46"/>
        <v>1.1595374699125935E-4</v>
      </c>
      <c r="Q247">
        <f t="shared" si="47"/>
        <v>1.5692450120989506E-4</v>
      </c>
      <c r="V247">
        <f t="shared" si="48"/>
        <v>245</v>
      </c>
      <c r="W247">
        <f t="shared" si="37"/>
        <v>7.2690255995464567E-2</v>
      </c>
      <c r="X247">
        <f t="shared" si="38"/>
        <v>4.0425268801918261E-2</v>
      </c>
      <c r="Y247">
        <f t="shared" si="39"/>
        <v>2.2205842200970854E-2</v>
      </c>
      <c r="Z247">
        <f>100*(P247/$T$5)</f>
        <v>7.6085135821036317E-3</v>
      </c>
      <c r="AA247">
        <f>100*(Q247/$T$6)</f>
        <v>3.015459285355401E-3</v>
      </c>
    </row>
    <row r="248" spans="1:27" x14ac:dyDescent="0.3">
      <c r="A248">
        <v>5904</v>
      </c>
      <c r="B248">
        <v>4498953.9386859704</v>
      </c>
      <c r="C248">
        <v>42006453.267933503</v>
      </c>
      <c r="D248">
        <v>43886718.363705702</v>
      </c>
      <c r="E248">
        <v>33273315.756136999</v>
      </c>
      <c r="F248">
        <v>50080308.184505299</v>
      </c>
      <c r="G248">
        <v>17498267.183297101</v>
      </c>
      <c r="H248">
        <v>23546612.931876902</v>
      </c>
      <c r="J248">
        <f t="shared" si="40"/>
        <v>246</v>
      </c>
      <c r="K248">
        <f t="shared" si="41"/>
        <v>3.007322151528055E-5</v>
      </c>
      <c r="L248">
        <f t="shared" si="42"/>
        <v>2.8079179991934161E-4</v>
      </c>
      <c r="M248">
        <f t="shared" si="43"/>
        <v>2.9336041686969051E-4</v>
      </c>
      <c r="N248">
        <f t="shared" si="44"/>
        <v>2.2241521227364303E-4</v>
      </c>
      <c r="O248">
        <f t="shared" si="45"/>
        <v>3.3476141834562365E-4</v>
      </c>
      <c r="P248">
        <f t="shared" si="46"/>
        <v>1.1696702662631752E-4</v>
      </c>
      <c r="Q248">
        <f t="shared" si="47"/>
        <v>1.5739714526655682E-4</v>
      </c>
      <c r="V248">
        <f t="shared" si="48"/>
        <v>246</v>
      </c>
      <c r="W248">
        <f t="shared" si="37"/>
        <v>7.2556020650992661E-2</v>
      </c>
      <c r="X248">
        <f t="shared" si="38"/>
        <v>4.057543801793783E-2</v>
      </c>
      <c r="Y248">
        <f t="shared" si="39"/>
        <v>2.2241521227364305E-2</v>
      </c>
      <c r="Z248">
        <f>100*(P248/$T$5)</f>
        <v>7.6750017471336951E-3</v>
      </c>
      <c r="AA248">
        <f>100*(Q248/$T$6)</f>
        <v>3.0245416077355272E-3</v>
      </c>
    </row>
    <row r="249" spans="1:27" x14ac:dyDescent="0.3">
      <c r="A249">
        <v>5928</v>
      </c>
      <c r="B249">
        <v>4535688.5004389798</v>
      </c>
      <c r="C249">
        <v>41963187.643265203</v>
      </c>
      <c r="D249">
        <v>44051659.1198451</v>
      </c>
      <c r="E249">
        <v>33333192.141170502</v>
      </c>
      <c r="F249">
        <v>50391221.044575699</v>
      </c>
      <c r="G249">
        <v>17650606.135700598</v>
      </c>
      <c r="H249">
        <v>23658957.090508699</v>
      </c>
      <c r="J249">
        <f t="shared" si="40"/>
        <v>247</v>
      </c>
      <c r="K249">
        <f t="shared" si="41"/>
        <v>3.0318773398656282E-5</v>
      </c>
      <c r="L249">
        <f t="shared" si="42"/>
        <v>2.8050259119829683E-4</v>
      </c>
      <c r="M249">
        <f t="shared" si="43"/>
        <v>2.9446296203105015E-4</v>
      </c>
      <c r="N249">
        <f t="shared" si="44"/>
        <v>2.2281545548910763E-4</v>
      </c>
      <c r="O249">
        <f t="shared" si="45"/>
        <v>3.3683971286481082E-4</v>
      </c>
      <c r="P249">
        <f t="shared" si="46"/>
        <v>1.1798533513168849E-4</v>
      </c>
      <c r="Q249">
        <f t="shared" si="47"/>
        <v>1.5814810889377474E-4</v>
      </c>
      <c r="V249">
        <f t="shared" si="48"/>
        <v>247</v>
      </c>
      <c r="W249">
        <f t="shared" si="37"/>
        <v>7.2481289715322181E-2</v>
      </c>
      <c r="X249">
        <f t="shared" si="38"/>
        <v>4.072793389087831E-2</v>
      </c>
      <c r="Y249">
        <f t="shared" si="39"/>
        <v>2.2281545548910764E-2</v>
      </c>
      <c r="Z249">
        <f>100*(P249/$T$5)</f>
        <v>7.7418198905307408E-3</v>
      </c>
      <c r="AA249">
        <f>100*(Q249/$T$6)</f>
        <v>3.0389721155606214E-3</v>
      </c>
    </row>
    <row r="250" spans="1:27" x14ac:dyDescent="0.3">
      <c r="A250">
        <v>5952</v>
      </c>
      <c r="B250">
        <v>4572573.0350643396</v>
      </c>
      <c r="C250">
        <v>41955857.215857498</v>
      </c>
      <c r="D250">
        <v>44219104.944503903</v>
      </c>
      <c r="E250">
        <v>33399450.876281701</v>
      </c>
      <c r="F250">
        <v>50255511.657394998</v>
      </c>
      <c r="G250">
        <v>17803698.720061</v>
      </c>
      <c r="H250">
        <v>23755402.745007198</v>
      </c>
      <c r="J250">
        <f t="shared" si="40"/>
        <v>248</v>
      </c>
      <c r="K250">
        <f t="shared" si="41"/>
        <v>3.0565327774494249E-5</v>
      </c>
      <c r="L250">
        <f t="shared" si="42"/>
        <v>2.8045359101509023E-4</v>
      </c>
      <c r="M250">
        <f t="shared" si="43"/>
        <v>2.9558225230283359E-4</v>
      </c>
      <c r="N250">
        <f t="shared" si="44"/>
        <v>2.2325836147247125E-4</v>
      </c>
      <c r="O250">
        <f t="shared" si="45"/>
        <v>3.3593256455477939E-4</v>
      </c>
      <c r="P250">
        <f t="shared" si="46"/>
        <v>1.1900868128383022E-4</v>
      </c>
      <c r="Q250">
        <f t="shared" si="47"/>
        <v>1.587927990976417E-4</v>
      </c>
      <c r="V250">
        <f t="shared" si="48"/>
        <v>248</v>
      </c>
      <c r="W250">
        <f t="shared" si="37"/>
        <v>7.2468628169273949E-2</v>
      </c>
      <c r="X250">
        <f t="shared" si="38"/>
        <v>4.0882745823351815E-2</v>
      </c>
      <c r="Y250">
        <f t="shared" si="39"/>
        <v>2.2325836147247126E-2</v>
      </c>
      <c r="Z250">
        <f>100*(P250/$T$5)</f>
        <v>7.8089685881778366E-3</v>
      </c>
      <c r="AA250">
        <f>100*(Q250/$T$6)</f>
        <v>3.0513604745895794E-3</v>
      </c>
    </row>
    <row r="251" spans="1:27" x14ac:dyDescent="0.3">
      <c r="A251">
        <v>5976</v>
      </c>
      <c r="B251">
        <v>4609607.5497832298</v>
      </c>
      <c r="C251">
        <v>41985971.760567397</v>
      </c>
      <c r="D251">
        <v>44389040.957906298</v>
      </c>
      <c r="E251">
        <v>33471777.362835601</v>
      </c>
      <c r="F251">
        <v>49688019.513740398</v>
      </c>
      <c r="G251">
        <v>17957546.231619999</v>
      </c>
      <c r="H251">
        <v>23945419.316204701</v>
      </c>
      <c r="J251">
        <f t="shared" si="40"/>
        <v>249</v>
      </c>
      <c r="K251">
        <f t="shared" si="41"/>
        <v>3.0812884691064373E-5</v>
      </c>
      <c r="L251">
        <f t="shared" si="42"/>
        <v>2.8065489144764305E-4</v>
      </c>
      <c r="M251">
        <f t="shared" si="43"/>
        <v>2.967181882212988E-4</v>
      </c>
      <c r="N251">
        <f t="shared" si="44"/>
        <v>2.2374182729168181E-4</v>
      </c>
      <c r="O251">
        <f t="shared" si="45"/>
        <v>3.3213916787259626E-4</v>
      </c>
      <c r="P251">
        <f t="shared" si="46"/>
        <v>1.200370737407754E-4</v>
      </c>
      <c r="Q251">
        <f t="shared" si="47"/>
        <v>1.6006296334361431E-4</v>
      </c>
      <c r="V251">
        <f t="shared" si="48"/>
        <v>249</v>
      </c>
      <c r="W251">
        <f t="shared" si="37"/>
        <v>7.252064378492068E-2</v>
      </c>
      <c r="X251">
        <f t="shared" si="38"/>
        <v>4.1039860058270927E-2</v>
      </c>
      <c r="Y251">
        <f t="shared" si="39"/>
        <v>2.237418272916818E-2</v>
      </c>
      <c r="Z251">
        <f>100*(P251/$T$5)</f>
        <v>7.8764484081873618E-3</v>
      </c>
      <c r="AA251">
        <f>100*(Q251/$T$6)</f>
        <v>3.0757679351194147E-3</v>
      </c>
    </row>
    <row r="252" spans="1:27" x14ac:dyDescent="0.3">
      <c r="A252">
        <v>6000</v>
      </c>
      <c r="B252">
        <v>4646792.0517510399</v>
      </c>
      <c r="C252">
        <v>42055060.744940698</v>
      </c>
      <c r="D252">
        <v>44561448.896509498</v>
      </c>
      <c r="E252">
        <v>33549709.854088701</v>
      </c>
      <c r="F252">
        <v>48703476.779683597</v>
      </c>
      <c r="G252">
        <v>18112150.009701699</v>
      </c>
      <c r="H252">
        <v>24002416.2845864</v>
      </c>
      <c r="J252">
        <f t="shared" si="40"/>
        <v>250</v>
      </c>
      <c r="K252">
        <f t="shared" si="41"/>
        <v>3.1061444196196792E-5</v>
      </c>
      <c r="L252">
        <f t="shared" si="42"/>
        <v>2.8111671620949664E-4</v>
      </c>
      <c r="M252">
        <f t="shared" si="43"/>
        <v>2.978706477039405E-4</v>
      </c>
      <c r="N252">
        <f t="shared" si="44"/>
        <v>2.2426276640433624E-4</v>
      </c>
      <c r="O252">
        <f t="shared" si="45"/>
        <v>3.2555799986419516E-4</v>
      </c>
      <c r="P252">
        <f t="shared" si="46"/>
        <v>1.2107052145522526E-4</v>
      </c>
      <c r="Q252">
        <f t="shared" si="47"/>
        <v>1.6044395912156683E-4</v>
      </c>
      <c r="V252">
        <f t="shared" si="48"/>
        <v>250</v>
      </c>
      <c r="W252">
        <f t="shared" si="37"/>
        <v>7.263997834870714E-2</v>
      </c>
      <c r="X252">
        <f t="shared" si="38"/>
        <v>4.1199259710088587E-2</v>
      </c>
      <c r="Y252">
        <f t="shared" si="39"/>
        <v>2.2426276640433625E-2</v>
      </c>
      <c r="Z252">
        <f>100*(P252/$T$5)</f>
        <v>7.9442599380069069E-3</v>
      </c>
      <c r="AA252">
        <f>100*(Q252/$T$6)</f>
        <v>3.0830891453029756E-3</v>
      </c>
    </row>
    <row r="253" spans="1:27" x14ac:dyDescent="0.3">
      <c r="A253">
        <v>6024</v>
      </c>
      <c r="B253">
        <v>4684126.5480476199</v>
      </c>
      <c r="C253">
        <v>42164667.530171201</v>
      </c>
      <c r="D253">
        <v>44736307.156988598</v>
      </c>
      <c r="E253">
        <v>33632681.345604897</v>
      </c>
      <c r="F253">
        <v>47314776.638480701</v>
      </c>
      <c r="G253">
        <v>18267511.399553001</v>
      </c>
      <c r="H253">
        <v>24061981.0291427</v>
      </c>
      <c r="J253">
        <f t="shared" si="40"/>
        <v>251</v>
      </c>
      <c r="K253">
        <f t="shared" si="41"/>
        <v>3.1311006337216714E-5</v>
      </c>
      <c r="L253">
        <f t="shared" si="42"/>
        <v>2.818493818861711E-4</v>
      </c>
      <c r="M253">
        <f t="shared" si="43"/>
        <v>2.9903948634350667E-4</v>
      </c>
      <c r="N253">
        <f t="shared" si="44"/>
        <v>2.2481738867382952E-4</v>
      </c>
      <c r="O253">
        <f t="shared" si="45"/>
        <v>3.1627524490963037E-4</v>
      </c>
      <c r="P253">
        <f t="shared" si="46"/>
        <v>1.2210903341947193E-4</v>
      </c>
      <c r="Q253">
        <f t="shared" si="47"/>
        <v>1.6084211917876136E-4</v>
      </c>
      <c r="V253">
        <f t="shared" si="48"/>
        <v>251</v>
      </c>
      <c r="W253">
        <f t="shared" si="37"/>
        <v>7.2829297645005439E-2</v>
      </c>
      <c r="X253">
        <f t="shared" si="38"/>
        <v>4.1360924805464272E-2</v>
      </c>
      <c r="Y253">
        <f t="shared" si="39"/>
        <v>2.2481738867382951E-2</v>
      </c>
      <c r="Z253">
        <f>100*(P253/$T$5)</f>
        <v>8.0124037676818846E-3</v>
      </c>
      <c r="AA253">
        <f>100*(Q253/$T$6)</f>
        <v>3.0907401840653609E-3</v>
      </c>
    </row>
    <row r="254" spans="1:27" x14ac:dyDescent="0.3">
      <c r="A254">
        <v>6048</v>
      </c>
      <c r="B254">
        <v>4721611.04567602</v>
      </c>
      <c r="C254">
        <v>42316342.925363399</v>
      </c>
      <c r="D254">
        <v>44913590.839171298</v>
      </c>
      <c r="E254">
        <v>33720045.075864702</v>
      </c>
      <c r="F254">
        <v>45531510.7171674</v>
      </c>
      <c r="G254">
        <v>18423631.6620767</v>
      </c>
      <c r="H254">
        <v>24102338.7937603</v>
      </c>
      <c r="J254">
        <f t="shared" si="40"/>
        <v>252</v>
      </c>
      <c r="K254">
        <f t="shared" si="41"/>
        <v>3.1561571160935962E-5</v>
      </c>
      <c r="L254">
        <f t="shared" si="42"/>
        <v>2.8286325484868583E-4</v>
      </c>
      <c r="M254">
        <f t="shared" si="43"/>
        <v>3.0022453769499533E-4</v>
      </c>
      <c r="N254">
        <f t="shared" si="44"/>
        <v>2.2540137082797262E-4</v>
      </c>
      <c r="O254">
        <f t="shared" si="45"/>
        <v>3.0435501816288371E-4</v>
      </c>
      <c r="P254">
        <f t="shared" si="46"/>
        <v>1.2315261806201004E-4</v>
      </c>
      <c r="Q254">
        <f t="shared" si="47"/>
        <v>1.6111189033262232E-4</v>
      </c>
      <c r="V254">
        <f t="shared" si="48"/>
        <v>252</v>
      </c>
      <c r="W254">
        <f t="shared" si="37"/>
        <v>7.3091280322657839E-2</v>
      </c>
      <c r="X254">
        <f t="shared" si="38"/>
        <v>4.1524832322959247E-2</v>
      </c>
      <c r="Y254">
        <f t="shared" si="39"/>
        <v>2.2540137082797264E-2</v>
      </c>
      <c r="Z254">
        <f>100*(P254/$T$5)</f>
        <v>8.0808804502631257E-3</v>
      </c>
      <c r="AA254">
        <f>100*(Q254/$T$6)</f>
        <v>3.0959241032402444E-3</v>
      </c>
    </row>
    <row r="255" spans="1:27" x14ac:dyDescent="0.3">
      <c r="A255">
        <v>6072</v>
      </c>
      <c r="B255">
        <v>4759245.5515570799</v>
      </c>
      <c r="C255">
        <v>42511638.163463898</v>
      </c>
      <c r="D255">
        <v>45093271.794120103</v>
      </c>
      <c r="E255">
        <v>33811075.006963298</v>
      </c>
      <c r="F255">
        <v>43359194.490484297</v>
      </c>
      <c r="G255">
        <v>18580511.984643899</v>
      </c>
      <c r="H255">
        <v>24251467.297530301</v>
      </c>
      <c r="J255">
        <f t="shared" si="40"/>
        <v>253</v>
      </c>
      <c r="K255">
        <f t="shared" si="41"/>
        <v>3.1813138713616841E-5</v>
      </c>
      <c r="L255">
        <f t="shared" si="42"/>
        <v>2.8416870430122927E-4</v>
      </c>
      <c r="M255">
        <f t="shared" si="43"/>
        <v>3.0142561359705952E-4</v>
      </c>
      <c r="N255">
        <f t="shared" si="44"/>
        <v>2.2600985967221457E-4</v>
      </c>
      <c r="O255">
        <f t="shared" si="45"/>
        <v>2.8983418777061697E-4</v>
      </c>
      <c r="P255">
        <f t="shared" si="46"/>
        <v>1.2420128331981216E-4</v>
      </c>
      <c r="Q255">
        <f t="shared" si="47"/>
        <v>1.6210873861985495E-4</v>
      </c>
      <c r="V255">
        <f t="shared" si="48"/>
        <v>253</v>
      </c>
      <c r="W255">
        <f t="shared" si="37"/>
        <v>7.3428605762591539E-2</v>
      </c>
      <c r="X255">
        <f t="shared" si="38"/>
        <v>4.1690956237490945E-2</v>
      </c>
      <c r="Y255">
        <f t="shared" si="39"/>
        <v>2.2600985967221456E-2</v>
      </c>
      <c r="Z255">
        <f>100*(P255/$T$5)</f>
        <v>8.1496905065493539E-3</v>
      </c>
      <c r="AA255">
        <f>100*(Q255/$T$6)</f>
        <v>3.1150795276682348E-3</v>
      </c>
    </row>
    <row r="256" spans="1:27" x14ac:dyDescent="0.3">
      <c r="A256">
        <v>6096</v>
      </c>
      <c r="B256">
        <v>4797030.0725249397</v>
      </c>
      <c r="C256">
        <v>42752097.352283403</v>
      </c>
      <c r="D256">
        <v>45275318.674218901</v>
      </c>
      <c r="E256">
        <v>33904934.720411099</v>
      </c>
      <c r="F256">
        <v>40799720.214166</v>
      </c>
      <c r="G256">
        <v>18738153.627181198</v>
      </c>
      <c r="H256">
        <v>24428221.558640599</v>
      </c>
      <c r="J256">
        <f t="shared" si="40"/>
        <v>254</v>
      </c>
      <c r="K256">
        <f t="shared" si="41"/>
        <v>3.2065709040942108E-5</v>
      </c>
      <c r="L256">
        <f t="shared" si="42"/>
        <v>2.8577605182007623E-4</v>
      </c>
      <c r="M256">
        <f t="shared" si="43"/>
        <v>3.0264250450681083E-4</v>
      </c>
      <c r="N256">
        <f t="shared" si="44"/>
        <v>2.2663726417387098E-4</v>
      </c>
      <c r="O256">
        <f t="shared" si="45"/>
        <v>2.7272540250110962E-4</v>
      </c>
      <c r="P256">
        <f t="shared" si="46"/>
        <v>1.2525503761484758E-4</v>
      </c>
      <c r="Q256">
        <f t="shared" si="47"/>
        <v>1.6329025106043182E-4</v>
      </c>
      <c r="V256">
        <f t="shared" si="48"/>
        <v>254</v>
      </c>
      <c r="W256">
        <f t="shared" si="37"/>
        <v>7.3843941038779393E-2</v>
      </c>
      <c r="X256">
        <f t="shared" si="38"/>
        <v>4.1859267566640504E-2</v>
      </c>
      <c r="Y256">
        <f t="shared" si="39"/>
        <v>2.2663726417387099E-2</v>
      </c>
      <c r="Z256">
        <f>100*(P256/$T$5)</f>
        <v>8.2188344891632268E-3</v>
      </c>
      <c r="AA256">
        <f>100*(Q256/$T$6)</f>
        <v>3.1377834561958462E-3</v>
      </c>
    </row>
    <row r="257" spans="1:27" x14ac:dyDescent="0.3">
      <c r="A257">
        <v>6120</v>
      </c>
      <c r="B257">
        <v>4834964.6153216297</v>
      </c>
      <c r="C257">
        <v>43039249.432084903</v>
      </c>
      <c r="D257">
        <v>45459696.984986499</v>
      </c>
      <c r="E257">
        <v>34000611.803597301</v>
      </c>
      <c r="F257">
        <v>37853817.409476399</v>
      </c>
      <c r="G257">
        <v>18896558.024587199</v>
      </c>
      <c r="H257">
        <v>24596818.826612599</v>
      </c>
      <c r="J257">
        <f t="shared" si="40"/>
        <v>255</v>
      </c>
      <c r="K257">
        <f t="shared" si="41"/>
        <v>3.2319282187978808E-5</v>
      </c>
      <c r="L257">
        <f t="shared" si="42"/>
        <v>2.876955175941504E-4</v>
      </c>
      <c r="M257">
        <f t="shared" si="43"/>
        <v>3.0387497984616643E-4</v>
      </c>
      <c r="N257">
        <f t="shared" si="44"/>
        <v>2.2727681686896591E-4</v>
      </c>
      <c r="O257">
        <f t="shared" si="45"/>
        <v>2.5303353883339837E-4</v>
      </c>
      <c r="P257">
        <f t="shared" si="46"/>
        <v>1.2631389053868448E-4</v>
      </c>
      <c r="Q257">
        <f t="shared" si="47"/>
        <v>1.6441723814580614E-4</v>
      </c>
      <c r="V257">
        <f t="shared" si="48"/>
        <v>255</v>
      </c>
      <c r="W257">
        <f t="shared" si="37"/>
        <v>7.433992702691225E-2</v>
      </c>
      <c r="X257">
        <f t="shared" si="38"/>
        <v>4.2029734418556911E-2</v>
      </c>
      <c r="Y257">
        <f t="shared" si="39"/>
        <v>2.2727681686896591E-2</v>
      </c>
      <c r="Z257">
        <f>100*(P257/$T$5)</f>
        <v>8.2883130274727344E-3</v>
      </c>
      <c r="AA257">
        <f>100*(Q257/$T$6)</f>
        <v>3.15943962616845E-3</v>
      </c>
    </row>
    <row r="258" spans="1:27" x14ac:dyDescent="0.3">
      <c r="A258">
        <v>6144</v>
      </c>
      <c r="B258">
        <v>4873049.1865976201</v>
      </c>
      <c r="C258">
        <v>43374599.639000602</v>
      </c>
      <c r="D258">
        <v>45646369.140754499</v>
      </c>
      <c r="E258">
        <v>34096821.133459598</v>
      </c>
      <c r="F258">
        <v>34526792.5452803</v>
      </c>
      <c r="G258">
        <v>19055726.673186701</v>
      </c>
      <c r="H258">
        <v>24836596.348269101</v>
      </c>
      <c r="J258">
        <f t="shared" si="40"/>
        <v>256</v>
      </c>
      <c r="K258">
        <f t="shared" si="41"/>
        <v>3.2573858199181954E-5</v>
      </c>
      <c r="L258">
        <f t="shared" si="42"/>
        <v>2.8993716336230349E-4</v>
      </c>
      <c r="M258">
        <f t="shared" si="43"/>
        <v>3.0512278837402742E-4</v>
      </c>
      <c r="N258">
        <f t="shared" si="44"/>
        <v>2.2791992736269785E-4</v>
      </c>
      <c r="O258">
        <f t="shared" si="45"/>
        <v>2.3079406781604479E-4</v>
      </c>
      <c r="P258">
        <f t="shared" si="46"/>
        <v>1.2737785209349399E-4</v>
      </c>
      <c r="Q258">
        <f t="shared" si="47"/>
        <v>1.6602002906596994E-4</v>
      </c>
      <c r="V258">
        <f t="shared" si="48"/>
        <v>256</v>
      </c>
      <c r="W258">
        <f t="shared" ref="W258:W321" si="49">(L258/$T$2)*100</f>
        <v>7.4919163659509944E-2</v>
      </c>
      <c r="X258">
        <f t="shared" ref="X258:X321" si="50">100*(M258/$T$3)</f>
        <v>4.2202322043433944E-2</v>
      </c>
      <c r="Y258">
        <f t="shared" ref="Y258:Y321" si="51">100*(N258/$T$4)</f>
        <v>2.2791992736269785E-2</v>
      </c>
      <c r="Z258">
        <f>100*(P258/$T$5)</f>
        <v>8.3581267777883203E-3</v>
      </c>
      <c r="AA258">
        <f>100*(Q258/$T$6)</f>
        <v>3.1902388367788235E-3</v>
      </c>
    </row>
    <row r="259" spans="1:27" x14ac:dyDescent="0.3">
      <c r="A259">
        <v>6168</v>
      </c>
      <c r="B259">
        <v>4911283.7929005902</v>
      </c>
      <c r="C259">
        <v>43759620.427730799</v>
      </c>
      <c r="D259">
        <v>45835294.5238759</v>
      </c>
      <c r="E259">
        <v>34191891.950146601</v>
      </c>
      <c r="F259">
        <v>30839813.584800199</v>
      </c>
      <c r="G259">
        <v>19215660.947299801</v>
      </c>
      <c r="H259">
        <v>24931985.531114999</v>
      </c>
      <c r="J259">
        <f t="shared" ref="J259:J322" si="52">A259/24</f>
        <v>257</v>
      </c>
      <c r="K259">
        <f t="shared" ref="K259:K322" si="53">B259/149600000000</f>
        <v>3.2829437118319453E-5</v>
      </c>
      <c r="L259">
        <f t="shared" ref="L259:L322" si="54">C259/149600000000</f>
        <v>2.9251083173616844E-4</v>
      </c>
      <c r="M259">
        <f t="shared" ref="M259:M322" si="55">D259/149600000000</f>
        <v>3.0638565858205814E-4</v>
      </c>
      <c r="N259">
        <f t="shared" ref="N259:N322" si="56">E259/149600000000</f>
        <v>2.2855542747424198E-4</v>
      </c>
      <c r="O259">
        <f t="shared" ref="O259:O322" si="57">F259/149600000000</f>
        <v>2.061484865294131E-4</v>
      </c>
      <c r="P259">
        <f t="shared" ref="P259:P322" si="58">G259/149600000000</f>
        <v>1.2844693146590777E-4</v>
      </c>
      <c r="Q259">
        <f t="shared" ref="Q259:Q322" si="59">H259/149600000000</f>
        <v>1.6665765729354946E-4</v>
      </c>
      <c r="V259">
        <f t="shared" ref="V259:V322" si="60">J259</f>
        <v>257</v>
      </c>
      <c r="W259">
        <f t="shared" si="49"/>
        <v>7.558419424707194E-2</v>
      </c>
      <c r="X259">
        <f t="shared" si="50"/>
        <v>4.2376992888251475E-2</v>
      </c>
      <c r="Y259">
        <f t="shared" si="51"/>
        <v>2.2855542747424198E-2</v>
      </c>
      <c r="Z259">
        <f>100*(P259/$T$5)</f>
        <v>8.4282763429073346E-3</v>
      </c>
      <c r="AA259">
        <f>100*(Q259/$T$6)</f>
        <v>3.2024914929582914E-3</v>
      </c>
    </row>
    <row r="260" spans="1:27" x14ac:dyDescent="0.3">
      <c r="A260">
        <v>6192</v>
      </c>
      <c r="B260">
        <v>4949668.4406739697</v>
      </c>
      <c r="C260">
        <v>44195741.745479003</v>
      </c>
      <c r="D260">
        <v>46026429.539892599</v>
      </c>
      <c r="E260">
        <v>34283672.6895511</v>
      </c>
      <c r="F260">
        <v>26851151.4952626</v>
      </c>
      <c r="G260">
        <v>19376362.0659278</v>
      </c>
      <c r="H260">
        <v>24998468.674787901</v>
      </c>
      <c r="J260">
        <f t="shared" si="52"/>
        <v>258</v>
      </c>
      <c r="K260">
        <f t="shared" si="53"/>
        <v>3.3086018988462361E-5</v>
      </c>
      <c r="L260">
        <f t="shared" si="54"/>
        <v>2.9542608118635695E-4</v>
      </c>
      <c r="M260">
        <f t="shared" si="55"/>
        <v>3.0766329906345321E-4</v>
      </c>
      <c r="N260">
        <f t="shared" si="56"/>
        <v>2.2916893509058222E-4</v>
      </c>
      <c r="O260">
        <f t="shared" si="57"/>
        <v>1.794863067865147E-4</v>
      </c>
      <c r="P260">
        <f t="shared" si="58"/>
        <v>1.2952113680433022E-4</v>
      </c>
      <c r="Q260">
        <f t="shared" si="59"/>
        <v>1.6710206333414373E-4</v>
      </c>
      <c r="V260">
        <f t="shared" si="60"/>
        <v>258</v>
      </c>
      <c r="W260">
        <f t="shared" si="49"/>
        <v>7.6337488678645204E-2</v>
      </c>
      <c r="X260">
        <f t="shared" si="50"/>
        <v>4.2553706647780527E-2</v>
      </c>
      <c r="Y260">
        <f t="shared" si="51"/>
        <v>2.2916893509058223E-2</v>
      </c>
      <c r="Z260">
        <f>100*(P260/$T$5)</f>
        <v>8.4987622575019815E-3</v>
      </c>
      <c r="AA260">
        <f>100*(Q260/$T$6)</f>
        <v>3.2110311939689421E-3</v>
      </c>
    </row>
    <row r="261" spans="1:27" x14ac:dyDescent="0.3">
      <c r="A261">
        <v>6216</v>
      </c>
      <c r="B261">
        <v>4988203.1362558799</v>
      </c>
      <c r="C261">
        <v>44684340.480173104</v>
      </c>
      <c r="D261">
        <v>46219727.683393702</v>
      </c>
      <c r="E261">
        <v>34369512.529781297</v>
      </c>
      <c r="F261">
        <v>22696892.568180699</v>
      </c>
      <c r="G261">
        <v>19537831.250801299</v>
      </c>
      <c r="H261">
        <v>24991874.5717832</v>
      </c>
      <c r="J261">
        <f t="shared" si="52"/>
        <v>259</v>
      </c>
      <c r="K261">
        <f t="shared" si="53"/>
        <v>3.3343603851977809E-5</v>
      </c>
      <c r="L261">
        <f t="shared" si="54"/>
        <v>2.9869211550917848E-4</v>
      </c>
      <c r="M261">
        <f t="shared" si="55"/>
        <v>3.0895539895316648E-4</v>
      </c>
      <c r="N261">
        <f t="shared" si="56"/>
        <v>2.2974273081404609E-4</v>
      </c>
      <c r="O261">
        <f t="shared" si="57"/>
        <v>1.5171719631136831E-4</v>
      </c>
      <c r="P261">
        <f t="shared" si="58"/>
        <v>1.3060047627540974E-4</v>
      </c>
      <c r="Q261">
        <f t="shared" si="59"/>
        <v>1.6705798510550267E-4</v>
      </c>
      <c r="V261">
        <f t="shared" si="60"/>
        <v>259</v>
      </c>
      <c r="W261">
        <f t="shared" si="49"/>
        <v>7.7181425196170148E-2</v>
      </c>
      <c r="X261">
        <f t="shared" si="50"/>
        <v>4.2732420325472545E-2</v>
      </c>
      <c r="Y261">
        <f t="shared" si="51"/>
        <v>2.2974273081404609E-2</v>
      </c>
      <c r="Z261">
        <f>100*(P261/$T$5)</f>
        <v>8.5695850574415838E-3</v>
      </c>
      <c r="AA261">
        <f>100*(Q261/$T$6)</f>
        <v>3.21018418726946E-3</v>
      </c>
    </row>
    <row r="262" spans="1:27" x14ac:dyDescent="0.3">
      <c r="A262">
        <v>6240</v>
      </c>
      <c r="B262">
        <v>5026887.8858736204</v>
      </c>
      <c r="C262">
        <v>45226728.815305799</v>
      </c>
      <c r="D262">
        <v>46415139.5998514</v>
      </c>
      <c r="E262">
        <v>34446396.727672003</v>
      </c>
      <c r="F262">
        <v>18672209.169544701</v>
      </c>
      <c r="G262">
        <v>19700069.8426047</v>
      </c>
      <c r="H262">
        <v>25087335.317312799</v>
      </c>
      <c r="J262">
        <f t="shared" si="52"/>
        <v>260</v>
      </c>
      <c r="K262">
        <f t="shared" si="53"/>
        <v>3.3602191750492113E-5</v>
      </c>
      <c r="L262">
        <f t="shared" si="54"/>
        <v>3.0231770598466442E-4</v>
      </c>
      <c r="M262">
        <f t="shared" si="55"/>
        <v>3.1026162834125266E-4</v>
      </c>
      <c r="N262">
        <f t="shared" si="56"/>
        <v>2.3025666261812836E-4</v>
      </c>
      <c r="O262">
        <f t="shared" si="57"/>
        <v>1.2481423241674265E-4</v>
      </c>
      <c r="P262">
        <f t="shared" si="58"/>
        <v>1.3168495884094051E-4</v>
      </c>
      <c r="Q262">
        <f t="shared" si="59"/>
        <v>1.6769609169326737E-4</v>
      </c>
      <c r="V262">
        <f t="shared" si="60"/>
        <v>260</v>
      </c>
      <c r="W262">
        <f t="shared" si="49"/>
        <v>7.8118270280275043E-2</v>
      </c>
      <c r="X262">
        <f t="shared" si="50"/>
        <v>4.2913088290629689E-2</v>
      </c>
      <c r="Y262">
        <f t="shared" si="51"/>
        <v>2.3025666261812835E-2</v>
      </c>
      <c r="Z262">
        <f>100*(P262/$T$5)</f>
        <v>8.6407453307703747E-3</v>
      </c>
      <c r="AA262">
        <f>100*(Q262/$T$6)</f>
        <v>3.2224460356123632E-3</v>
      </c>
    </row>
    <row r="263" spans="1:27" x14ac:dyDescent="0.3">
      <c r="A263">
        <v>6264</v>
      </c>
      <c r="B263">
        <v>5065722.6956399204</v>
      </c>
      <c r="C263">
        <v>45824141.115481503</v>
      </c>
      <c r="D263">
        <v>46612613.150048397</v>
      </c>
      <c r="E263">
        <v>34511296.351379797</v>
      </c>
      <c r="F263">
        <v>15382075.2781504</v>
      </c>
      <c r="G263">
        <v>19863079.244314101</v>
      </c>
      <c r="H263">
        <v>25178104.3669868</v>
      </c>
      <c r="J263">
        <f t="shared" si="52"/>
        <v>261</v>
      </c>
      <c r="K263">
        <f t="shared" si="53"/>
        <v>3.3861782724865777E-5</v>
      </c>
      <c r="L263">
        <f t="shared" si="54"/>
        <v>3.0631110371311164E-4</v>
      </c>
      <c r="M263">
        <f t="shared" si="55"/>
        <v>3.1158163870353208E-4</v>
      </c>
      <c r="N263">
        <f t="shared" si="56"/>
        <v>2.3069048363221788E-4</v>
      </c>
      <c r="O263">
        <f t="shared" si="57"/>
        <v>1.0282135881116578E-4</v>
      </c>
      <c r="P263">
        <f t="shared" si="58"/>
        <v>1.3277459387910496E-4</v>
      </c>
      <c r="Q263">
        <f t="shared" si="59"/>
        <v>1.6830283667771924E-4</v>
      </c>
      <c r="V263">
        <f t="shared" si="60"/>
        <v>261</v>
      </c>
      <c r="W263">
        <f t="shared" si="49"/>
        <v>7.9150155998220062E-2</v>
      </c>
      <c r="X263">
        <f t="shared" si="50"/>
        <v>4.3095662337971241E-2</v>
      </c>
      <c r="Y263">
        <f t="shared" si="51"/>
        <v>2.3069048363221788E-2</v>
      </c>
      <c r="Z263">
        <f>100*(P263/$T$5)</f>
        <v>8.7122436928546571E-3</v>
      </c>
      <c r="AA263">
        <f>100*(Q263/$T$6)</f>
        <v>3.2341052397717E-3</v>
      </c>
    </row>
    <row r="264" spans="1:27" x14ac:dyDescent="0.3">
      <c r="A264">
        <v>6288</v>
      </c>
      <c r="B264">
        <v>5104707.5715546999</v>
      </c>
      <c r="C264">
        <v>46477718.860196203</v>
      </c>
      <c r="D264">
        <v>46812093.477801003</v>
      </c>
      <c r="E264">
        <v>34561713.419376798</v>
      </c>
      <c r="F264">
        <v>13841866.1356722</v>
      </c>
      <c r="G264">
        <v>20026860.814224601</v>
      </c>
      <c r="H264">
        <v>25274932.699795902</v>
      </c>
      <c r="J264">
        <f t="shared" si="52"/>
        <v>262</v>
      </c>
      <c r="K264">
        <f t="shared" si="53"/>
        <v>3.4122376815205215E-5</v>
      </c>
      <c r="L264">
        <f t="shared" si="54"/>
        <v>3.1067993890505484E-4</v>
      </c>
      <c r="M264">
        <f t="shared" si="55"/>
        <v>3.129150633542848E-4</v>
      </c>
      <c r="N264">
        <f t="shared" si="56"/>
        <v>2.3102749611882888E-4</v>
      </c>
      <c r="O264">
        <f t="shared" si="57"/>
        <v>9.2525843152889046E-5</v>
      </c>
      <c r="P264">
        <f t="shared" si="58"/>
        <v>1.3386939046941578E-4</v>
      </c>
      <c r="Q264">
        <f t="shared" si="59"/>
        <v>1.6895008489168384E-4</v>
      </c>
      <c r="V264">
        <f t="shared" si="60"/>
        <v>262</v>
      </c>
      <c r="W264">
        <f t="shared" si="49"/>
        <v>8.0279053980634327E-2</v>
      </c>
      <c r="X264">
        <f t="shared" si="50"/>
        <v>4.3280091750246857E-2</v>
      </c>
      <c r="Y264">
        <f t="shared" si="51"/>
        <v>2.3102749611882887E-2</v>
      </c>
      <c r="Z264">
        <f>100*(P264/$T$5)</f>
        <v>8.7840807394629784E-3</v>
      </c>
      <c r="AA264">
        <f>100*(Q264/$T$6)</f>
        <v>3.2465427534912349E-3</v>
      </c>
    </row>
    <row r="265" spans="1:27" x14ac:dyDescent="0.3">
      <c r="A265">
        <v>6312</v>
      </c>
      <c r="B265">
        <v>5143842.5195061099</v>
      </c>
      <c r="C265">
        <v>47188493.003815301</v>
      </c>
      <c r="D265">
        <v>47013523.077533498</v>
      </c>
      <c r="E265">
        <v>34596272.403049499</v>
      </c>
      <c r="F265">
        <v>14859282.5526322</v>
      </c>
      <c r="G265">
        <v>20191415.8941641</v>
      </c>
      <c r="H265">
        <v>25439129.291935399</v>
      </c>
      <c r="J265">
        <f t="shared" si="52"/>
        <v>263</v>
      </c>
      <c r="K265">
        <f t="shared" si="53"/>
        <v>3.4383974060869716E-5</v>
      </c>
      <c r="L265">
        <f t="shared" si="54"/>
        <v>3.154311029666798E-4</v>
      </c>
      <c r="M265">
        <f t="shared" si="55"/>
        <v>3.1426151789795117E-4</v>
      </c>
      <c r="N265">
        <f t="shared" si="56"/>
        <v>2.3125850536797793E-4</v>
      </c>
      <c r="O265">
        <f t="shared" si="57"/>
        <v>9.9326755030963902E-5</v>
      </c>
      <c r="P265">
        <f t="shared" si="58"/>
        <v>1.3496935758131084E-4</v>
      </c>
      <c r="Q265">
        <f t="shared" si="59"/>
        <v>1.7004765569475535E-4</v>
      </c>
      <c r="V265">
        <f t="shared" si="60"/>
        <v>263</v>
      </c>
      <c r="W265">
        <f t="shared" si="49"/>
        <v>8.1506744952630439E-2</v>
      </c>
      <c r="X265">
        <f t="shared" si="50"/>
        <v>4.3466323360712475E-2</v>
      </c>
      <c r="Y265">
        <f t="shared" si="51"/>
        <v>2.3125850536797794E-2</v>
      </c>
      <c r="Z265">
        <f>100*(P265/$T$5)</f>
        <v>8.8562570591411306E-3</v>
      </c>
      <c r="AA265">
        <f>100*(Q265/$T$6)</f>
        <v>3.267633660544876E-3</v>
      </c>
    </row>
    <row r="266" spans="1:27" x14ac:dyDescent="0.3">
      <c r="A266">
        <v>6336</v>
      </c>
      <c r="B266">
        <v>5183127.5452711899</v>
      </c>
      <c r="C266">
        <v>47957363.000970699</v>
      </c>
      <c r="D266">
        <v>47216841.865625702</v>
      </c>
      <c r="E266">
        <v>34615115.082116999</v>
      </c>
      <c r="F266">
        <v>18000818.249947999</v>
      </c>
      <c r="G266">
        <v>20356745.8851078</v>
      </c>
      <c r="H266">
        <v>25495067.678224601</v>
      </c>
      <c r="J266">
        <f t="shared" si="52"/>
        <v>264</v>
      </c>
      <c r="K266">
        <f t="shared" si="53"/>
        <v>3.4646574500475871E-5</v>
      </c>
      <c r="L266">
        <f t="shared" si="54"/>
        <v>3.2057060829525868E-4</v>
      </c>
      <c r="M266">
        <f t="shared" si="55"/>
        <v>3.1562060070605414E-4</v>
      </c>
      <c r="N266">
        <f t="shared" si="56"/>
        <v>2.3138445910506015E-4</v>
      </c>
      <c r="O266">
        <f t="shared" si="57"/>
        <v>1.2032632520018716E-4</v>
      </c>
      <c r="P266">
        <f t="shared" si="58"/>
        <v>1.3607450457959759E-4</v>
      </c>
      <c r="Q266">
        <f t="shared" si="59"/>
        <v>1.7042157538920189E-4</v>
      </c>
      <c r="V266">
        <f t="shared" si="60"/>
        <v>264</v>
      </c>
      <c r="W266">
        <f t="shared" si="49"/>
        <v>8.2834782505234794E-2</v>
      </c>
      <c r="X266">
        <f t="shared" si="50"/>
        <v>4.3654301619094629E-2</v>
      </c>
      <c r="Y266">
        <f t="shared" si="51"/>
        <v>2.3138445910506015E-2</v>
      </c>
      <c r="Z266">
        <f>100*(P266/$T$5)</f>
        <v>8.928773266377794E-3</v>
      </c>
      <c r="AA266">
        <f>100*(Q266/$T$6)</f>
        <v>3.2748188967948099E-3</v>
      </c>
    </row>
    <row r="267" spans="1:27" x14ac:dyDescent="0.3">
      <c r="A267">
        <v>6360</v>
      </c>
      <c r="B267">
        <v>5222562.6545220502</v>
      </c>
      <c r="C267">
        <v>48785071.5906469</v>
      </c>
      <c r="D267">
        <v>47421987.250358</v>
      </c>
      <c r="E267">
        <v>34619905.211695001</v>
      </c>
      <c r="F267">
        <v>22217795.0106856</v>
      </c>
      <c r="G267">
        <v>20522852.227148801</v>
      </c>
      <c r="H267">
        <v>25538178.994153701</v>
      </c>
      <c r="J267">
        <f t="shared" si="52"/>
        <v>265</v>
      </c>
      <c r="K267">
        <f t="shared" si="53"/>
        <v>3.4910178171938835E-5</v>
      </c>
      <c r="L267">
        <f t="shared" si="54"/>
        <v>3.2610341972357556E-4</v>
      </c>
      <c r="M267">
        <f t="shared" si="55"/>
        <v>3.1699189338474598E-4</v>
      </c>
      <c r="N267">
        <f t="shared" si="56"/>
        <v>2.3141647868780082E-4</v>
      </c>
      <c r="O267">
        <f t="shared" si="57"/>
        <v>1.4851467253132087E-4</v>
      </c>
      <c r="P267">
        <f t="shared" si="58"/>
        <v>1.3718484109056684E-4</v>
      </c>
      <c r="Q267">
        <f t="shared" si="59"/>
        <v>1.7070975263471725E-4</v>
      </c>
      <c r="V267">
        <f t="shared" si="60"/>
        <v>265</v>
      </c>
      <c r="W267">
        <f t="shared" si="49"/>
        <v>8.4264449540975603E-2</v>
      </c>
      <c r="X267">
        <f t="shared" si="50"/>
        <v>4.3843968656258094E-2</v>
      </c>
      <c r="Y267">
        <f t="shared" si="51"/>
        <v>2.314164786878008E-2</v>
      </c>
      <c r="Z267">
        <f>100*(P267/$T$5)</f>
        <v>9.0016299928193464E-3</v>
      </c>
      <c r="AA267">
        <f>100*(Q267/$T$6)</f>
        <v>3.2803565072005623E-3</v>
      </c>
    </row>
    <row r="268" spans="1:27" x14ac:dyDescent="0.3">
      <c r="A268">
        <v>6384</v>
      </c>
      <c r="B268">
        <v>5262147.8528356301</v>
      </c>
      <c r="C268">
        <v>49672174.2786396</v>
      </c>
      <c r="D268">
        <v>47628894.204249702</v>
      </c>
      <c r="E268">
        <v>34613442.138928004</v>
      </c>
      <c r="F268">
        <v>26762480.133320499</v>
      </c>
      <c r="G268">
        <v>20689736.282914199</v>
      </c>
      <c r="H268">
        <v>25515074.358977001</v>
      </c>
      <c r="J268">
        <f t="shared" si="52"/>
        <v>266</v>
      </c>
      <c r="K268">
        <f t="shared" si="53"/>
        <v>3.5174785112537637E-5</v>
      </c>
      <c r="L268">
        <f t="shared" si="54"/>
        <v>3.3203325052566578E-4</v>
      </c>
      <c r="M268">
        <f t="shared" si="55"/>
        <v>3.1837496125835363E-4</v>
      </c>
      <c r="N268">
        <f t="shared" si="56"/>
        <v>2.3137327632973264E-4</v>
      </c>
      <c r="O268">
        <f t="shared" si="57"/>
        <v>1.7889358377888034E-4</v>
      </c>
      <c r="P268">
        <f t="shared" si="58"/>
        <v>1.383003762226885E-4</v>
      </c>
      <c r="Q268">
        <f t="shared" si="59"/>
        <v>1.705553098862099E-4</v>
      </c>
      <c r="V268">
        <f t="shared" si="60"/>
        <v>266</v>
      </c>
      <c r="W268">
        <f t="shared" si="49"/>
        <v>8.5796705562187534E-2</v>
      </c>
      <c r="X268">
        <f t="shared" si="50"/>
        <v>4.4035264351086255E-2</v>
      </c>
      <c r="Y268">
        <f t="shared" si="51"/>
        <v>2.3137327632973263E-2</v>
      </c>
      <c r="Z268">
        <f>100*(P268/$T$5)</f>
        <v>9.0748278361344158E-3</v>
      </c>
      <c r="AA268">
        <f>100*(Q268/$T$6)</f>
        <v>3.2773887372446178E-3</v>
      </c>
    </row>
    <row r="269" spans="1:27" x14ac:dyDescent="0.3">
      <c r="A269">
        <v>6408</v>
      </c>
      <c r="B269">
        <v>5301883.1457106704</v>
      </c>
      <c r="C269">
        <v>50619002.3160206</v>
      </c>
      <c r="D269">
        <v>47837495.339182399</v>
      </c>
      <c r="E269">
        <v>34599074.3059071</v>
      </c>
      <c r="F269">
        <v>31233142.0929491</v>
      </c>
      <c r="G269">
        <v>20857399.285472099</v>
      </c>
      <c r="H269">
        <v>25634864.313403599</v>
      </c>
      <c r="J269">
        <f t="shared" si="52"/>
        <v>267</v>
      </c>
      <c r="K269">
        <f t="shared" si="53"/>
        <v>3.5440395359028549E-5</v>
      </c>
      <c r="L269">
        <f t="shared" si="54"/>
        <v>3.3836231494666178E-4</v>
      </c>
      <c r="M269">
        <f t="shared" si="55"/>
        <v>3.1976935387154011E-4</v>
      </c>
      <c r="N269">
        <f t="shared" si="56"/>
        <v>2.3127723466515442E-4</v>
      </c>
      <c r="O269">
        <f t="shared" si="57"/>
        <v>2.087776877870929E-4</v>
      </c>
      <c r="P269">
        <f t="shared" si="58"/>
        <v>1.394211182183964E-4</v>
      </c>
      <c r="Q269">
        <f t="shared" si="59"/>
        <v>1.7135604487569249E-4</v>
      </c>
      <c r="V269">
        <f t="shared" si="60"/>
        <v>267</v>
      </c>
      <c r="W269">
        <f t="shared" si="49"/>
        <v>8.7432122725235595E-2</v>
      </c>
      <c r="X269">
        <f t="shared" si="50"/>
        <v>4.4228126399936389E-2</v>
      </c>
      <c r="Y269">
        <f t="shared" si="51"/>
        <v>2.312772346651544E-2</v>
      </c>
      <c r="Z269">
        <f>100*(P269/$T$5)</f>
        <v>9.148367337165118E-3</v>
      </c>
      <c r="AA269">
        <f>100*(Q269/$T$6)</f>
        <v>3.2927756509548906E-3</v>
      </c>
    </row>
    <row r="270" spans="1:27" x14ac:dyDescent="0.3">
      <c r="A270">
        <v>6432</v>
      </c>
      <c r="B270">
        <v>5341768.5385929402</v>
      </c>
      <c r="C270">
        <v>51625617.8420358</v>
      </c>
      <c r="D270">
        <v>48047720.980417296</v>
      </c>
      <c r="E270">
        <v>34580152.315754697</v>
      </c>
      <c r="F270">
        <v>35423273.960418098</v>
      </c>
      <c r="G270">
        <v>21025842.4697771</v>
      </c>
      <c r="H270">
        <v>25761403.633582301</v>
      </c>
      <c r="J270">
        <f t="shared" si="52"/>
        <v>268</v>
      </c>
      <c r="K270">
        <f t="shared" si="53"/>
        <v>3.5707008947813772E-5</v>
      </c>
      <c r="L270">
        <f t="shared" si="54"/>
        <v>3.4509102835585429E-4</v>
      </c>
      <c r="M270">
        <f t="shared" si="55"/>
        <v>3.2117460548407284E-4</v>
      </c>
      <c r="N270">
        <f t="shared" si="56"/>
        <v>2.3115075077376134E-4</v>
      </c>
      <c r="O270">
        <f t="shared" si="57"/>
        <v>2.3678659064450599E-4</v>
      </c>
      <c r="P270">
        <f t="shared" si="58"/>
        <v>1.4054707533273463E-4</v>
      </c>
      <c r="Q270">
        <f t="shared" si="59"/>
        <v>1.7220189594640577E-4</v>
      </c>
      <c r="V270">
        <f t="shared" si="60"/>
        <v>268</v>
      </c>
      <c r="W270">
        <f t="shared" si="49"/>
        <v>8.917080836068586E-2</v>
      </c>
      <c r="X270">
        <f t="shared" si="50"/>
        <v>4.4422490385072316E-2</v>
      </c>
      <c r="Y270">
        <f t="shared" si="51"/>
        <v>2.3115075077376132E-2</v>
      </c>
      <c r="Z270">
        <f>100*(P270/$T$5)</f>
        <v>9.2222490375810113E-3</v>
      </c>
      <c r="AA270">
        <f>100*(Q270/$T$6)</f>
        <v>3.3090295147272441E-3</v>
      </c>
    </row>
    <row r="271" spans="1:27" x14ac:dyDescent="0.3">
      <c r="A271">
        <v>6456</v>
      </c>
      <c r="B271">
        <v>5381804.0368980002</v>
      </c>
      <c r="C271">
        <v>52691759.773498997</v>
      </c>
      <c r="D271">
        <v>48259499.243484803</v>
      </c>
      <c r="E271">
        <v>34559668.699094102</v>
      </c>
      <c r="F271">
        <v>39228571.167582601</v>
      </c>
      <c r="G271">
        <v>21195067.224302702</v>
      </c>
      <c r="H271">
        <v>25932006.301101401</v>
      </c>
      <c r="J271">
        <f t="shared" si="52"/>
        <v>269</v>
      </c>
      <c r="K271">
        <f t="shared" si="53"/>
        <v>3.5974625915093584E-5</v>
      </c>
      <c r="L271">
        <f t="shared" si="54"/>
        <v>3.5221764554477941E-4</v>
      </c>
      <c r="M271">
        <f t="shared" si="55"/>
        <v>3.2259023558479146E-4</v>
      </c>
      <c r="N271">
        <f t="shared" si="56"/>
        <v>2.3101382820250069E-4</v>
      </c>
      <c r="O271">
        <f t="shared" si="57"/>
        <v>2.6222306930202274E-4</v>
      </c>
      <c r="P271">
        <f t="shared" si="58"/>
        <v>1.4167825684694319E-4</v>
      </c>
      <c r="Q271">
        <f t="shared" si="59"/>
        <v>1.7334228810896658E-4</v>
      </c>
      <c r="V271">
        <f t="shared" si="60"/>
        <v>269</v>
      </c>
      <c r="W271">
        <f t="shared" si="49"/>
        <v>9.1012311510278915E-2</v>
      </c>
      <c r="X271">
        <f t="shared" si="50"/>
        <v>4.4618289845752626E-2</v>
      </c>
      <c r="Y271">
        <f t="shared" si="51"/>
        <v>2.3101382820250069E-2</v>
      </c>
      <c r="Z271">
        <f>100*(P271/$T$5)</f>
        <v>9.2964735463873481E-3</v>
      </c>
      <c r="AA271">
        <f>100*(Q271/$T$6)</f>
        <v>3.3309432764982048E-3</v>
      </c>
    </row>
    <row r="272" spans="1:27" x14ac:dyDescent="0.3">
      <c r="A272">
        <v>6480</v>
      </c>
      <c r="B272">
        <v>5421989.6460574996</v>
      </c>
      <c r="C272">
        <v>53816779.00006</v>
      </c>
      <c r="D272">
        <v>48472756.111461498</v>
      </c>
      <c r="E272">
        <v>34540104.020567</v>
      </c>
      <c r="F272">
        <v>42599049.018372104</v>
      </c>
      <c r="G272">
        <v>21365075.068884499</v>
      </c>
      <c r="H272">
        <v>26166174.216370799</v>
      </c>
      <c r="J272">
        <f t="shared" si="52"/>
        <v>270</v>
      </c>
      <c r="K272">
        <f t="shared" si="53"/>
        <v>3.6243246297175802E-5</v>
      </c>
      <c r="L272">
        <f t="shared" si="54"/>
        <v>3.5973782754050802E-4</v>
      </c>
      <c r="M272">
        <f t="shared" si="55"/>
        <v>3.2401574940816512E-4</v>
      </c>
      <c r="N272">
        <f t="shared" si="56"/>
        <v>2.308830482658222E-4</v>
      </c>
      <c r="O272">
        <f t="shared" si="57"/>
        <v>2.847530014597066E-4</v>
      </c>
      <c r="P272">
        <f t="shared" si="58"/>
        <v>1.4281467292035093E-4</v>
      </c>
      <c r="Q272">
        <f t="shared" si="59"/>
        <v>1.7490758166023262E-4</v>
      </c>
      <c r="V272">
        <f t="shared" si="60"/>
        <v>270</v>
      </c>
      <c r="W272">
        <f t="shared" si="49"/>
        <v>9.2955510992379323E-2</v>
      </c>
      <c r="X272">
        <f t="shared" si="50"/>
        <v>4.4815456349677062E-2</v>
      </c>
      <c r="Y272">
        <f t="shared" si="51"/>
        <v>2.308830482658222E-2</v>
      </c>
      <c r="Z272">
        <f>100*(P272/$T$5)</f>
        <v>9.3710415302067536E-3</v>
      </c>
      <c r="AA272">
        <f>100*(Q272/$T$6)</f>
        <v>3.3610219381289899E-3</v>
      </c>
    </row>
    <row r="273" spans="1:27" x14ac:dyDescent="0.3">
      <c r="A273">
        <v>6504</v>
      </c>
      <c r="B273">
        <v>5462325.3715685504</v>
      </c>
      <c r="C273">
        <v>54999561.519434899</v>
      </c>
      <c r="D273">
        <v>48687415.513000503</v>
      </c>
      <c r="E273">
        <v>34523420.970615096</v>
      </c>
      <c r="F273">
        <v>45513246.232071601</v>
      </c>
      <c r="G273">
        <v>21535867.493714899</v>
      </c>
      <c r="H273">
        <v>26315011.071259499</v>
      </c>
      <c r="J273">
        <f t="shared" si="52"/>
        <v>271</v>
      </c>
      <c r="K273">
        <f t="shared" si="53"/>
        <v>3.6512870130805819E-5</v>
      </c>
      <c r="L273">
        <f t="shared" si="54"/>
        <v>3.6764412780370922E-4</v>
      </c>
      <c r="M273">
        <f t="shared" si="55"/>
        <v>3.2545063845588573E-4</v>
      </c>
      <c r="N273">
        <f t="shared" si="56"/>
        <v>2.3077153055223995E-4</v>
      </c>
      <c r="O273">
        <f t="shared" si="57"/>
        <v>3.0423292935876739E-4</v>
      </c>
      <c r="P273">
        <f t="shared" si="58"/>
        <v>1.4395633351413703E-4</v>
      </c>
      <c r="Q273">
        <f t="shared" si="59"/>
        <v>1.7590248042285761E-4</v>
      </c>
      <c r="V273">
        <f t="shared" si="60"/>
        <v>271</v>
      </c>
      <c r="W273">
        <f t="shared" si="49"/>
        <v>9.4998482636617365E-2</v>
      </c>
      <c r="X273">
        <f t="shared" si="50"/>
        <v>4.5013919565129429E-2</v>
      </c>
      <c r="Y273">
        <f t="shared" si="51"/>
        <v>2.3077153055223995E-2</v>
      </c>
      <c r="Z273">
        <f>100*(P273/$T$5)</f>
        <v>9.4459536426599097E-3</v>
      </c>
      <c r="AA273">
        <f>100*(Q273/$T$6)</f>
        <v>3.3801399005160952E-3</v>
      </c>
    </row>
    <row r="274" spans="1:27" x14ac:dyDescent="0.3">
      <c r="A274">
        <v>6528</v>
      </c>
      <c r="B274">
        <v>5502811.2190794796</v>
      </c>
      <c r="C274">
        <v>56238438.388480999</v>
      </c>
      <c r="D274">
        <v>48903399.402712703</v>
      </c>
      <c r="E274">
        <v>34511131.991442896</v>
      </c>
      <c r="F274">
        <v>47963840.958111301</v>
      </c>
      <c r="G274">
        <v>21707445.833859999</v>
      </c>
      <c r="H274">
        <v>26429608.143250499</v>
      </c>
      <c r="J274">
        <f t="shared" si="52"/>
        <v>272</v>
      </c>
      <c r="K274">
        <f t="shared" si="53"/>
        <v>3.6783497453739839E-5</v>
      </c>
      <c r="L274">
        <f t="shared" si="54"/>
        <v>3.7592539029733285E-4</v>
      </c>
      <c r="M274">
        <f t="shared" si="55"/>
        <v>3.2689438103417583E-4</v>
      </c>
      <c r="N274">
        <f t="shared" si="56"/>
        <v>2.3068938496953809E-4</v>
      </c>
      <c r="O274">
        <f t="shared" si="57"/>
        <v>3.206139101478028E-4</v>
      </c>
      <c r="P274">
        <f t="shared" si="58"/>
        <v>1.451032475525401E-4</v>
      </c>
      <c r="Q274">
        <f t="shared" si="59"/>
        <v>1.766685036313536E-4</v>
      </c>
      <c r="V274">
        <f t="shared" si="60"/>
        <v>272</v>
      </c>
      <c r="W274">
        <f t="shared" si="49"/>
        <v>9.7138343746080838E-2</v>
      </c>
      <c r="X274">
        <f t="shared" si="50"/>
        <v>4.5213607335294032E-2</v>
      </c>
      <c r="Y274">
        <f t="shared" si="51"/>
        <v>2.3068938496953809E-2</v>
      </c>
      <c r="Z274">
        <f>100*(P274/$T$5)</f>
        <v>9.5212104693267775E-3</v>
      </c>
      <c r="AA274">
        <f>100*(Q274/$T$6)</f>
        <v>3.3948597930698234E-3</v>
      </c>
    </row>
    <row r="275" spans="1:27" x14ac:dyDescent="0.3">
      <c r="A275">
        <v>6552</v>
      </c>
      <c r="B275">
        <v>5543447.1943760104</v>
      </c>
      <c r="C275">
        <v>57531081.8257787</v>
      </c>
      <c r="D275">
        <v>49120627.843451597</v>
      </c>
      <c r="E275">
        <v>34504384.492162302</v>
      </c>
      <c r="F275">
        <v>49949819.940234996</v>
      </c>
      <c r="G275">
        <v>21879811.351785202</v>
      </c>
      <c r="H275">
        <v>26441937.479378201</v>
      </c>
      <c r="J275">
        <f t="shared" si="52"/>
        <v>273</v>
      </c>
      <c r="K275">
        <f t="shared" si="53"/>
        <v>3.7055128304652476E-5</v>
      </c>
      <c r="L275">
        <f t="shared" si="54"/>
        <v>3.8456605498515172E-4</v>
      </c>
      <c r="M275">
        <f t="shared" si="55"/>
        <v>3.2834644280382082E-4</v>
      </c>
      <c r="N275">
        <f t="shared" si="56"/>
        <v>2.3064428136472127E-4</v>
      </c>
      <c r="O275">
        <f t="shared" si="57"/>
        <v>3.3388917072349597E-4</v>
      </c>
      <c r="P275">
        <f t="shared" si="58"/>
        <v>1.4625542347450002E-4</v>
      </c>
      <c r="Q275">
        <f t="shared" si="59"/>
        <v>1.767509189798008E-4</v>
      </c>
      <c r="V275">
        <f t="shared" si="60"/>
        <v>273</v>
      </c>
      <c r="W275">
        <f t="shared" si="49"/>
        <v>9.9371073639574092E-2</v>
      </c>
      <c r="X275">
        <f t="shared" si="50"/>
        <v>4.5414445754332067E-2</v>
      </c>
      <c r="Y275">
        <f t="shared" si="51"/>
        <v>2.3064428136472127E-2</v>
      </c>
      <c r="Z275">
        <f>100*(P275/$T$5)</f>
        <v>9.5968125639435704E-3</v>
      </c>
      <c r="AA275">
        <f>100*(Q275/$T$6)</f>
        <v>3.3964434853920216E-3</v>
      </c>
    </row>
    <row r="276" spans="1:27" x14ac:dyDescent="0.3">
      <c r="A276">
        <v>6576</v>
      </c>
      <c r="B276">
        <v>5584233.3038478596</v>
      </c>
      <c r="C276">
        <v>58874387.576037198</v>
      </c>
      <c r="D276">
        <v>49339019.0850005</v>
      </c>
      <c r="E276">
        <v>34504033.708366901</v>
      </c>
      <c r="F276">
        <v>51472579.609322198</v>
      </c>
      <c r="G276">
        <v>22052965.378277</v>
      </c>
      <c r="H276">
        <v>26575870.563541599</v>
      </c>
      <c r="J276">
        <f t="shared" si="52"/>
        <v>274</v>
      </c>
      <c r="K276">
        <f t="shared" si="53"/>
        <v>3.7327762726255747E-5</v>
      </c>
      <c r="L276">
        <f t="shared" si="54"/>
        <v>3.9354537149757486E-4</v>
      </c>
      <c r="M276">
        <f t="shared" si="55"/>
        <v>3.2980627730615306E-4</v>
      </c>
      <c r="N276">
        <f t="shared" si="56"/>
        <v>2.3064193655325467E-4</v>
      </c>
      <c r="O276">
        <f t="shared" si="57"/>
        <v>3.440680455168596E-4</v>
      </c>
      <c r="P276">
        <f t="shared" si="58"/>
        <v>1.4741287017564839E-4</v>
      </c>
      <c r="Q276">
        <f t="shared" si="59"/>
        <v>1.776461936065615E-4</v>
      </c>
      <c r="V276">
        <f t="shared" si="60"/>
        <v>274</v>
      </c>
      <c r="W276">
        <f t="shared" si="49"/>
        <v>0.10169131046448962</v>
      </c>
      <c r="X276">
        <f t="shared" si="50"/>
        <v>4.5616359240131819E-2</v>
      </c>
      <c r="Y276">
        <f t="shared" si="51"/>
        <v>2.3064193655325468E-2</v>
      </c>
      <c r="Z276">
        <f>100*(P276/$T$5)</f>
        <v>9.6727605102131485E-3</v>
      </c>
      <c r="AA276">
        <f>100*(Q276/$T$6)</f>
        <v>3.4136470716095604E-3</v>
      </c>
    </row>
    <row r="277" spans="1:27" x14ac:dyDescent="0.3">
      <c r="A277">
        <v>6600</v>
      </c>
      <c r="B277">
        <v>5625169.5539969597</v>
      </c>
      <c r="C277">
        <v>60264344.843545198</v>
      </c>
      <c r="D277">
        <v>49558489.650873497</v>
      </c>
      <c r="E277">
        <v>34510693.683220699</v>
      </c>
      <c r="F277">
        <v>52534310.940288998</v>
      </c>
      <c r="G277">
        <v>22226909.311248001</v>
      </c>
      <c r="H277">
        <v>26675579.172568101</v>
      </c>
      <c r="J277">
        <f t="shared" si="52"/>
        <v>275</v>
      </c>
      <c r="K277">
        <f t="shared" si="53"/>
        <v>3.760140076201176E-5</v>
      </c>
      <c r="L277">
        <f t="shared" si="54"/>
        <v>4.0283652970284225E-4</v>
      </c>
      <c r="M277">
        <f t="shared" si="55"/>
        <v>3.3127332654327206E-4</v>
      </c>
      <c r="N277">
        <f t="shared" si="56"/>
        <v>2.3068645510174263E-4</v>
      </c>
      <c r="O277">
        <f t="shared" si="57"/>
        <v>3.5116518008214572E-4</v>
      </c>
      <c r="P277">
        <f t="shared" si="58"/>
        <v>1.4857559700032086E-4</v>
      </c>
      <c r="Q277">
        <f t="shared" si="59"/>
        <v>1.7831269500379746E-4</v>
      </c>
      <c r="V277">
        <f t="shared" si="60"/>
        <v>275</v>
      </c>
      <c r="W277">
        <f t="shared" si="49"/>
        <v>0.10409212653820213</v>
      </c>
      <c r="X277">
        <f t="shared" si="50"/>
        <v>4.5819270614560453E-2</v>
      </c>
      <c r="Y277">
        <f t="shared" si="51"/>
        <v>2.3068645510174263E-2</v>
      </c>
      <c r="Z277">
        <f>100*(P277/$T$5)</f>
        <v>9.7490549212808971E-3</v>
      </c>
      <c r="AA277">
        <f>100*(Q277/$T$6)</f>
        <v>3.4264545542620575E-3</v>
      </c>
    </row>
    <row r="278" spans="1:27" x14ac:dyDescent="0.3">
      <c r="A278">
        <v>6624</v>
      </c>
      <c r="B278">
        <v>5666255.9521111501</v>
      </c>
      <c r="C278">
        <v>61695896.809322201</v>
      </c>
      <c r="D278">
        <v>49778954.420667902</v>
      </c>
      <c r="E278">
        <v>34524768.891732097</v>
      </c>
      <c r="F278">
        <v>53137547.680078402</v>
      </c>
      <c r="G278">
        <v>22401644.527729802</v>
      </c>
      <c r="H278">
        <v>26811469.1107953</v>
      </c>
      <c r="J278">
        <f t="shared" si="52"/>
        <v>276</v>
      </c>
      <c r="K278">
        <f t="shared" si="53"/>
        <v>3.7876042460636028E-5</v>
      </c>
      <c r="L278">
        <f t="shared" si="54"/>
        <v>4.1240572733504144E-4</v>
      </c>
      <c r="M278">
        <f t="shared" si="55"/>
        <v>3.3274702152852873E-4</v>
      </c>
      <c r="N278">
        <f t="shared" si="56"/>
        <v>2.3078054072013434E-4</v>
      </c>
      <c r="O278">
        <f t="shared" si="57"/>
        <v>3.5519751123047058E-4</v>
      </c>
      <c r="P278">
        <f t="shared" si="58"/>
        <v>1.4974361315327406E-4</v>
      </c>
      <c r="Q278">
        <f t="shared" si="59"/>
        <v>1.7922105020585095E-4</v>
      </c>
      <c r="V278">
        <f t="shared" si="60"/>
        <v>276</v>
      </c>
      <c r="W278">
        <f t="shared" si="49"/>
        <v>0.1065647874250753</v>
      </c>
      <c r="X278">
        <f t="shared" si="50"/>
        <v>4.6023101179602871E-2</v>
      </c>
      <c r="Y278">
        <f t="shared" si="51"/>
        <v>2.3078054072013434E-2</v>
      </c>
      <c r="Z278">
        <f>100*(P278/$T$5)</f>
        <v>9.8256964011334685E-3</v>
      </c>
      <c r="AA278">
        <f>100*(Q278/$T$6)</f>
        <v>3.4439094966535544E-3</v>
      </c>
    </row>
    <row r="279" spans="1:27" x14ac:dyDescent="0.3">
      <c r="A279">
        <v>6648</v>
      </c>
      <c r="B279">
        <v>5707492.5063683297</v>
      </c>
      <c r="C279">
        <v>63162797.070994496</v>
      </c>
      <c r="D279">
        <v>50000326.716800898</v>
      </c>
      <c r="E279">
        <v>34546473.968542904</v>
      </c>
      <c r="F279">
        <v>53285108.951141097</v>
      </c>
      <c r="G279">
        <v>22577172.365155999</v>
      </c>
      <c r="H279">
        <v>26973778.005899899</v>
      </c>
      <c r="J279">
        <f t="shared" si="52"/>
        <v>277</v>
      </c>
      <c r="K279">
        <f t="shared" si="53"/>
        <v>3.8151687876793647E-5</v>
      </c>
      <c r="L279">
        <f t="shared" si="54"/>
        <v>4.2221121036761029E-4</v>
      </c>
      <c r="M279">
        <f t="shared" si="55"/>
        <v>3.3422678286631617E-4</v>
      </c>
      <c r="N279">
        <f t="shared" si="56"/>
        <v>2.3092562813197128E-4</v>
      </c>
      <c r="O279">
        <f t="shared" si="57"/>
        <v>3.5618388336324262E-4</v>
      </c>
      <c r="P279">
        <f t="shared" si="58"/>
        <v>1.5091692757457218E-4</v>
      </c>
      <c r="Q279">
        <f t="shared" si="59"/>
        <v>1.8030600271323462E-4</v>
      </c>
      <c r="V279">
        <f t="shared" si="60"/>
        <v>277</v>
      </c>
      <c r="W279">
        <f t="shared" si="49"/>
        <v>0.10909850397095872</v>
      </c>
      <c r="X279">
        <f t="shared" si="50"/>
        <v>4.6227770797554107E-2</v>
      </c>
      <c r="Y279">
        <f t="shared" si="51"/>
        <v>2.3092562813197128E-2</v>
      </c>
      <c r="Z279">
        <f>100*(P279/$T$5)</f>
        <v>9.9026855363892503E-3</v>
      </c>
      <c r="AA279">
        <f>100*(Q279/$T$6)</f>
        <v>3.4647579306924408E-3</v>
      </c>
    </row>
    <row r="280" spans="1:27" x14ac:dyDescent="0.3">
      <c r="A280">
        <v>6672</v>
      </c>
      <c r="B280">
        <v>5748879.22582532</v>
      </c>
      <c r="C280">
        <v>64657470.313228697</v>
      </c>
      <c r="D280">
        <v>50222518.390838102</v>
      </c>
      <c r="E280">
        <v>34575848.8340756</v>
      </c>
      <c r="F280">
        <v>52979945.390356302</v>
      </c>
      <c r="G280">
        <v>22753494.2229537</v>
      </c>
      <c r="H280">
        <v>27068789.0709792</v>
      </c>
      <c r="J280">
        <f t="shared" si="52"/>
        <v>278</v>
      </c>
      <c r="K280">
        <f t="shared" si="53"/>
        <v>3.8428337071024865E-5</v>
      </c>
      <c r="L280">
        <f t="shared" si="54"/>
        <v>4.3220234166596724E-4</v>
      </c>
      <c r="M280">
        <f t="shared" si="55"/>
        <v>3.3571202132913171E-4</v>
      </c>
      <c r="N280">
        <f t="shared" si="56"/>
        <v>2.3112198418499732E-4</v>
      </c>
      <c r="O280">
        <f t="shared" si="57"/>
        <v>3.541440199890127E-4</v>
      </c>
      <c r="P280">
        <f t="shared" si="58"/>
        <v>1.5209554961867445E-4</v>
      </c>
      <c r="Q280">
        <f t="shared" si="59"/>
        <v>1.8094110341563635E-4</v>
      </c>
      <c r="V280">
        <f t="shared" si="60"/>
        <v>278</v>
      </c>
      <c r="W280">
        <f t="shared" si="49"/>
        <v>0.11168019164495277</v>
      </c>
      <c r="X280">
        <f t="shared" si="50"/>
        <v>4.6433197970834263E-2</v>
      </c>
      <c r="Y280">
        <f t="shared" si="51"/>
        <v>2.3112198418499732E-2</v>
      </c>
      <c r="Z280">
        <f>100*(P280/$T$5)</f>
        <v>9.9800229408579036E-3</v>
      </c>
      <c r="AA280">
        <f>100*(Q280/$T$6)</f>
        <v>3.4769620179791768E-3</v>
      </c>
    </row>
    <row r="281" spans="1:27" x14ac:dyDescent="0.3">
      <c r="A281">
        <v>6696</v>
      </c>
      <c r="B281">
        <v>5790416.1206685603</v>
      </c>
      <c r="C281">
        <v>66170889.078325599</v>
      </c>
      <c r="D281">
        <v>50445439.912414998</v>
      </c>
      <c r="E281">
        <v>34612773.134670503</v>
      </c>
      <c r="F281">
        <v>52224646.545632802</v>
      </c>
      <c r="G281">
        <v>22930611.589983501</v>
      </c>
      <c r="H281">
        <v>27114576.191858899</v>
      </c>
      <c r="J281">
        <f t="shared" si="52"/>
        <v>279</v>
      </c>
      <c r="K281">
        <f t="shared" si="53"/>
        <v>3.870599011142086E-5</v>
      </c>
      <c r="L281">
        <f t="shared" si="54"/>
        <v>4.4231877726153473E-4</v>
      </c>
      <c r="M281">
        <f t="shared" si="55"/>
        <v>3.3720213845197193E-4</v>
      </c>
      <c r="N281">
        <f t="shared" si="56"/>
        <v>2.3136880437613972E-4</v>
      </c>
      <c r="O281">
        <f t="shared" si="57"/>
        <v>3.4909523092000534E-4</v>
      </c>
      <c r="P281">
        <f t="shared" si="58"/>
        <v>1.5327948923785762E-4</v>
      </c>
      <c r="Q281">
        <f t="shared" si="59"/>
        <v>1.8124716705788033E-4</v>
      </c>
      <c r="V281">
        <f t="shared" si="60"/>
        <v>279</v>
      </c>
      <c r="W281">
        <f t="shared" si="49"/>
        <v>0.11429425769031905</v>
      </c>
      <c r="X281">
        <f t="shared" si="50"/>
        <v>4.6639299924200822E-2</v>
      </c>
      <c r="Y281">
        <f t="shared" si="51"/>
        <v>2.3136880437613971E-2</v>
      </c>
      <c r="Z281">
        <f>100*(P281/$T$5)</f>
        <v>1.0057709267575959E-2</v>
      </c>
      <c r="AA281">
        <f>100*(Q281/$T$6)</f>
        <v>3.4828433331644953E-3</v>
      </c>
    </row>
    <row r="282" spans="1:27" x14ac:dyDescent="0.3">
      <c r="A282">
        <v>6720</v>
      </c>
      <c r="B282">
        <v>5832103.2025544103</v>
      </c>
      <c r="C282">
        <v>67692482.398131296</v>
      </c>
      <c r="D282">
        <v>50669000.458030701</v>
      </c>
      <c r="E282">
        <v>34656978.9583029</v>
      </c>
      <c r="F282">
        <v>51020597.928705499</v>
      </c>
      <c r="G282">
        <v>23108525.914169401</v>
      </c>
      <c r="H282">
        <v>27055962.114654299</v>
      </c>
      <c r="J282">
        <f t="shared" si="52"/>
        <v>280</v>
      </c>
      <c r="K282">
        <f t="shared" si="53"/>
        <v>3.8984647075898463E-5</v>
      </c>
      <c r="L282">
        <f t="shared" si="54"/>
        <v>4.5248985560248191E-4</v>
      </c>
      <c r="M282">
        <f t="shared" si="55"/>
        <v>3.3869652712587364E-4</v>
      </c>
      <c r="N282">
        <f t="shared" si="56"/>
        <v>2.3166429784961831E-4</v>
      </c>
      <c r="O282">
        <f t="shared" si="57"/>
        <v>3.4104677759829881E-4</v>
      </c>
      <c r="P282">
        <f t="shared" si="58"/>
        <v>1.5446875611075801E-4</v>
      </c>
      <c r="Q282">
        <f t="shared" si="59"/>
        <v>1.808553617289726E-4</v>
      </c>
      <c r="V282">
        <f t="shared" si="60"/>
        <v>280</v>
      </c>
      <c r="W282">
        <f t="shared" si="49"/>
        <v>0.11692244330813485</v>
      </c>
      <c r="X282">
        <f t="shared" si="50"/>
        <v>4.6845992686842829E-2</v>
      </c>
      <c r="Y282">
        <f t="shared" si="51"/>
        <v>2.316642978496183E-2</v>
      </c>
      <c r="Z282">
        <f>100*(P282/$T$5)</f>
        <v>1.0135745151624541E-2</v>
      </c>
      <c r="AA282">
        <f>100*(Q282/$T$6)</f>
        <v>3.4753144067827171E-3</v>
      </c>
    </row>
    <row r="283" spans="1:27" x14ac:dyDescent="0.3">
      <c r="A283">
        <v>6744</v>
      </c>
      <c r="B283">
        <v>5873940.4848357895</v>
      </c>
      <c r="C283">
        <v>69210095.815446496</v>
      </c>
      <c r="D283">
        <v>50893108.002793297</v>
      </c>
      <c r="E283">
        <v>34708055.980175003</v>
      </c>
      <c r="F283">
        <v>49366985.676940702</v>
      </c>
      <c r="G283">
        <v>23287238.492112</v>
      </c>
      <c r="H283">
        <v>27135773.8173589</v>
      </c>
      <c r="J283">
        <f t="shared" si="52"/>
        <v>281</v>
      </c>
      <c r="K283">
        <f t="shared" si="53"/>
        <v>3.9264308053715168E-5</v>
      </c>
      <c r="L283">
        <f t="shared" si="54"/>
        <v>4.626343303171557E-4</v>
      </c>
      <c r="M283">
        <f t="shared" si="55"/>
        <v>3.4019457221118516E-4</v>
      </c>
      <c r="N283">
        <f t="shared" si="56"/>
        <v>2.3200572179261366E-4</v>
      </c>
      <c r="O283">
        <f t="shared" si="57"/>
        <v>3.2999321976564638E-4</v>
      </c>
      <c r="P283">
        <f t="shared" si="58"/>
        <v>1.5566335890449199E-4</v>
      </c>
      <c r="Q283">
        <f t="shared" si="59"/>
        <v>1.8138886241550066E-4</v>
      </c>
      <c r="V283">
        <f t="shared" si="60"/>
        <v>281</v>
      </c>
      <c r="W283">
        <f t="shared" si="49"/>
        <v>0.1195437546039162</v>
      </c>
      <c r="X283">
        <f t="shared" si="50"/>
        <v>4.7053191177204037E-2</v>
      </c>
      <c r="Y283">
        <f t="shared" si="51"/>
        <v>2.3200572179261365E-2</v>
      </c>
      <c r="Z283">
        <f>100*(P283/$T$5)</f>
        <v>1.0214131161712072E-2</v>
      </c>
      <c r="AA283">
        <f>100*(Q283/$T$6)</f>
        <v>3.4855661494139255E-3</v>
      </c>
    </row>
    <row r="284" spans="1:27" x14ac:dyDescent="0.3">
      <c r="A284">
        <v>6768</v>
      </c>
      <c r="B284">
        <v>5915927.9826023197</v>
      </c>
      <c r="C284">
        <v>70710025.143878505</v>
      </c>
      <c r="D284">
        <v>51117669.411854103</v>
      </c>
      <c r="E284">
        <v>34765439.787044697</v>
      </c>
      <c r="F284">
        <v>47260036.952752903</v>
      </c>
      <c r="G284">
        <v>23466750.5354033</v>
      </c>
      <c r="H284">
        <v>27198802.405365098</v>
      </c>
      <c r="J284">
        <f t="shared" si="52"/>
        <v>282</v>
      </c>
      <c r="K284">
        <f t="shared" si="53"/>
        <v>3.9544973145737434E-5</v>
      </c>
      <c r="L284">
        <f t="shared" si="54"/>
        <v>4.726605958815408E-4</v>
      </c>
      <c r="M284">
        <f t="shared" si="55"/>
        <v>3.4169565114875735E-4</v>
      </c>
      <c r="N284">
        <f t="shared" si="56"/>
        <v>2.323893033893362E-4</v>
      </c>
      <c r="O284">
        <f t="shared" si="57"/>
        <v>3.1590933791947128E-4</v>
      </c>
      <c r="P284">
        <f t="shared" si="58"/>
        <v>1.5686330571793649E-4</v>
      </c>
      <c r="Q284">
        <f t="shared" si="59"/>
        <v>1.8181017650645119E-4</v>
      </c>
      <c r="V284">
        <f t="shared" si="60"/>
        <v>282</v>
      </c>
      <c r="W284">
        <f t="shared" si="49"/>
        <v>0.12213452089962294</v>
      </c>
      <c r="X284">
        <f t="shared" si="50"/>
        <v>4.7260809287518309E-2</v>
      </c>
      <c r="Y284">
        <f t="shared" si="51"/>
        <v>2.3238930338933619E-2</v>
      </c>
      <c r="Z284">
        <f>100*(P284/$T$5)</f>
        <v>1.0292867829260925E-2</v>
      </c>
      <c r="AA284">
        <f>100*(Q284/$T$6)</f>
        <v>3.4936621158042124E-3</v>
      </c>
    </row>
    <row r="285" spans="1:27" x14ac:dyDescent="0.3">
      <c r="A285">
        <v>6792</v>
      </c>
      <c r="B285">
        <v>5958065.7126823198</v>
      </c>
      <c r="C285">
        <v>72177147.083172396</v>
      </c>
      <c r="D285">
        <v>51342590.534675397</v>
      </c>
      <c r="E285">
        <v>34828373.118698999</v>
      </c>
      <c r="F285">
        <v>44693077.806542501</v>
      </c>
      <c r="G285">
        <v>23647063.3401355</v>
      </c>
      <c r="H285">
        <v>27344063.3337139</v>
      </c>
      <c r="J285">
        <f t="shared" si="52"/>
        <v>283</v>
      </c>
      <c r="K285">
        <f t="shared" si="53"/>
        <v>3.9826642464454007E-5</v>
      </c>
      <c r="L285">
        <f t="shared" si="54"/>
        <v>4.8246756071639301E-4</v>
      </c>
      <c r="M285">
        <f t="shared" si="55"/>
        <v>3.431991345900762E-4</v>
      </c>
      <c r="N285">
        <f t="shared" si="56"/>
        <v>2.3280998073996656E-4</v>
      </c>
      <c r="O285">
        <f t="shared" si="57"/>
        <v>2.9875052009720925E-4</v>
      </c>
      <c r="P285">
        <f t="shared" si="58"/>
        <v>1.5806860521480948E-4</v>
      </c>
      <c r="Q285">
        <f t="shared" si="59"/>
        <v>1.8278117201680415E-4</v>
      </c>
      <c r="V285">
        <f t="shared" si="60"/>
        <v>283</v>
      </c>
      <c r="W285">
        <f t="shared" si="49"/>
        <v>0.12466862034015323</v>
      </c>
      <c r="X285">
        <f t="shared" si="50"/>
        <v>4.7468759970964898E-2</v>
      </c>
      <c r="Y285">
        <f t="shared" si="51"/>
        <v>2.3280998073996657E-2</v>
      </c>
      <c r="Z285">
        <f>100*(P285/$T$5)</f>
        <v>1.0371955722756529E-2</v>
      </c>
      <c r="AA285">
        <f>100*(Q285/$T$6)</f>
        <v>3.5123207535896258E-3</v>
      </c>
    </row>
    <row r="286" spans="1:27" x14ac:dyDescent="0.3">
      <c r="A286">
        <v>6816</v>
      </c>
      <c r="B286">
        <v>6000353.6936340397</v>
      </c>
      <c r="C286">
        <v>73595167.251753896</v>
      </c>
      <c r="D286">
        <v>51567776.300474003</v>
      </c>
      <c r="E286">
        <v>34895832.151180796</v>
      </c>
      <c r="F286">
        <v>41658237.070018001</v>
      </c>
      <c r="G286">
        <v>23828178.367710099</v>
      </c>
      <c r="H286">
        <v>27527386.174637601</v>
      </c>
      <c r="J286">
        <f t="shared" si="52"/>
        <v>284</v>
      </c>
      <c r="K286">
        <f t="shared" si="53"/>
        <v>4.0109316133917375E-5</v>
      </c>
      <c r="L286">
        <f t="shared" si="54"/>
        <v>4.9194630515878273E-4</v>
      </c>
      <c r="M286">
        <f t="shared" si="55"/>
        <v>3.4470438703525404E-4</v>
      </c>
      <c r="N286">
        <f t="shared" si="56"/>
        <v>2.3326091010147592E-4</v>
      </c>
      <c r="O286">
        <f t="shared" si="57"/>
        <v>2.7846415153755347E-4</v>
      </c>
      <c r="P286">
        <f t="shared" si="58"/>
        <v>1.5927926716383757E-4</v>
      </c>
      <c r="Q286">
        <f t="shared" si="59"/>
        <v>1.8400659207645455E-4</v>
      </c>
      <c r="V286">
        <f t="shared" si="60"/>
        <v>284</v>
      </c>
      <c r="W286">
        <f t="shared" si="49"/>
        <v>0.12711790830976297</v>
      </c>
      <c r="X286">
        <f t="shared" si="50"/>
        <v>4.7676955329910654E-2</v>
      </c>
      <c r="Y286">
        <f t="shared" si="51"/>
        <v>2.3326091010147591E-2</v>
      </c>
      <c r="Z286">
        <f>100*(P286/$T$5)</f>
        <v>1.0451395483191442E-2</v>
      </c>
      <c r="AA286">
        <f>100*(Q286/$T$6)</f>
        <v>3.5358684103853682E-3</v>
      </c>
    </row>
    <row r="287" spans="1:27" x14ac:dyDescent="0.3">
      <c r="A287">
        <v>6840</v>
      </c>
      <c r="B287">
        <v>6042791.94571702</v>
      </c>
      <c r="C287">
        <v>74946999.038436994</v>
      </c>
      <c r="D287">
        <v>51793130.813763201</v>
      </c>
      <c r="E287">
        <v>34966417.406559199</v>
      </c>
      <c r="F287">
        <v>38151002.871131003</v>
      </c>
      <c r="G287">
        <v>24010097.119697101</v>
      </c>
      <c r="H287">
        <v>27698424.193159498</v>
      </c>
      <c r="J287">
        <f t="shared" si="52"/>
        <v>285</v>
      </c>
      <c r="K287">
        <f t="shared" si="53"/>
        <v>4.0392994289552272E-5</v>
      </c>
      <c r="L287">
        <f t="shared" si="54"/>
        <v>5.0098261389329543E-4</v>
      </c>
      <c r="M287">
        <f t="shared" si="55"/>
        <v>3.4621076747167915E-4</v>
      </c>
      <c r="N287">
        <f t="shared" si="56"/>
        <v>2.3373273667486096E-4</v>
      </c>
      <c r="O287">
        <f t="shared" si="57"/>
        <v>2.5502007266798801E-4</v>
      </c>
      <c r="P287">
        <f t="shared" si="58"/>
        <v>1.6049530160225335E-4</v>
      </c>
      <c r="Q287">
        <f t="shared" si="59"/>
        <v>1.8514989433930147E-4</v>
      </c>
      <c r="V287">
        <f t="shared" si="60"/>
        <v>285</v>
      </c>
      <c r="W287">
        <f t="shared" si="49"/>
        <v>0.12945287180705309</v>
      </c>
      <c r="X287">
        <f t="shared" si="50"/>
        <v>4.7885306704243312E-2</v>
      </c>
      <c r="Y287">
        <f t="shared" si="51"/>
        <v>2.3373273667486094E-2</v>
      </c>
      <c r="Z287">
        <f>100*(P287/$T$5)</f>
        <v>1.0531187769176728E-2</v>
      </c>
      <c r="AA287">
        <f>100*(Q287/$T$6)</f>
        <v>3.5578380926076379E-3</v>
      </c>
    </row>
    <row r="288" spans="1:27" x14ac:dyDescent="0.3">
      <c r="A288">
        <v>6864</v>
      </c>
      <c r="B288">
        <v>6085380.49058857</v>
      </c>
      <c r="C288">
        <v>76215274.326761603</v>
      </c>
      <c r="D288">
        <v>52018557.454151601</v>
      </c>
      <c r="E288">
        <v>35038224.372582398</v>
      </c>
      <c r="F288">
        <v>34179487.941020198</v>
      </c>
      <c r="G288">
        <v>24192820.999573201</v>
      </c>
      <c r="H288">
        <v>27821949.2292124</v>
      </c>
      <c r="J288">
        <f t="shared" si="52"/>
        <v>286</v>
      </c>
      <c r="K288">
        <f t="shared" si="53"/>
        <v>4.0677677076126804E-5</v>
      </c>
      <c r="L288">
        <f t="shared" si="54"/>
        <v>5.0946038988477008E-4</v>
      </c>
      <c r="M288">
        <f t="shared" si="55"/>
        <v>3.4771763004112034E-4</v>
      </c>
      <c r="N288">
        <f t="shared" si="56"/>
        <v>2.3421272976325132E-4</v>
      </c>
      <c r="O288">
        <f t="shared" si="57"/>
        <v>2.2847251297473394E-4</v>
      </c>
      <c r="P288">
        <f t="shared" si="58"/>
        <v>1.6171671791158557E-4</v>
      </c>
      <c r="Q288">
        <f t="shared" si="59"/>
        <v>1.8597559645195454E-4</v>
      </c>
      <c r="V288">
        <f t="shared" si="60"/>
        <v>286</v>
      </c>
      <c r="W288">
        <f t="shared" si="49"/>
        <v>0.13164351159813181</v>
      </c>
      <c r="X288">
        <f t="shared" si="50"/>
        <v>4.8093724763640433E-2</v>
      </c>
      <c r="Y288">
        <f t="shared" si="51"/>
        <v>2.3421272976325132E-2</v>
      </c>
      <c r="Z288">
        <f>100*(P288/$T$5)</f>
        <v>1.0611333196298266E-2</v>
      </c>
      <c r="AA288">
        <f>100*(Q288/$T$6)</f>
        <v>3.573704774249703E-3</v>
      </c>
    </row>
    <row r="289" spans="1:27" x14ac:dyDescent="0.3">
      <c r="A289">
        <v>6888</v>
      </c>
      <c r="B289">
        <v>6128119.3505966105</v>
      </c>
      <c r="C289">
        <v>77382969.910014898</v>
      </c>
      <c r="D289">
        <v>52243958.973666199</v>
      </c>
      <c r="E289">
        <v>35108734.787363604</v>
      </c>
      <c r="F289">
        <v>29781582.297426298</v>
      </c>
      <c r="G289">
        <v>24376351.3031401</v>
      </c>
      <c r="H289">
        <v>27842807.584146801</v>
      </c>
      <c r="J289">
        <f t="shared" si="52"/>
        <v>287</v>
      </c>
      <c r="K289">
        <f t="shared" si="53"/>
        <v>4.0963364643025472E-5</v>
      </c>
      <c r="L289">
        <f t="shared" si="54"/>
        <v>5.1726584164448462E-4</v>
      </c>
      <c r="M289">
        <f t="shared" si="55"/>
        <v>3.4922432469028207E-4</v>
      </c>
      <c r="N289">
        <f t="shared" si="56"/>
        <v>2.3468405606526474E-4</v>
      </c>
      <c r="O289">
        <f t="shared" si="57"/>
        <v>1.9907474797744852E-4</v>
      </c>
      <c r="P289">
        <f t="shared" si="58"/>
        <v>1.629435247536103E-4</v>
      </c>
      <c r="Q289">
        <f t="shared" si="59"/>
        <v>1.8611502395820054E-4</v>
      </c>
      <c r="V289">
        <f t="shared" si="60"/>
        <v>287</v>
      </c>
      <c r="W289">
        <f t="shared" si="49"/>
        <v>0.13366042419754126</v>
      </c>
      <c r="X289">
        <f t="shared" si="50"/>
        <v>4.8302119597549389E-2</v>
      </c>
      <c r="Y289">
        <f t="shared" si="51"/>
        <v>2.3468405606526473E-2</v>
      </c>
      <c r="Z289">
        <f>100*(P289/$T$5)</f>
        <v>1.0691832332914063E-2</v>
      </c>
      <c r="AA289">
        <f>100*(Q289/$T$6)</f>
        <v>3.5763840114950143E-3</v>
      </c>
    </row>
    <row r="290" spans="1:27" x14ac:dyDescent="0.3">
      <c r="A290">
        <v>6912</v>
      </c>
      <c r="B290">
        <v>6171008.5481120599</v>
      </c>
      <c r="C290">
        <v>78434113.449518695</v>
      </c>
      <c r="D290">
        <v>52469237.600013703</v>
      </c>
      <c r="E290">
        <v>35174802.633709602</v>
      </c>
      <c r="F290">
        <v>25056644.4652978</v>
      </c>
      <c r="G290">
        <v>24560689.337278999</v>
      </c>
      <c r="H290">
        <v>27988998.736290298</v>
      </c>
      <c r="J290">
        <f t="shared" si="52"/>
        <v>288</v>
      </c>
      <c r="K290">
        <f t="shared" si="53"/>
        <v>4.12500571397865E-5</v>
      </c>
      <c r="L290">
        <f t="shared" si="54"/>
        <v>5.2429220220266508E-4</v>
      </c>
      <c r="M290">
        <f t="shared" si="55"/>
        <v>3.5073019786105414E-4</v>
      </c>
      <c r="N290">
        <f t="shared" si="56"/>
        <v>2.3512568605420857E-4</v>
      </c>
      <c r="O290">
        <f t="shared" si="57"/>
        <v>1.6749093893915642E-4</v>
      </c>
      <c r="P290">
        <f t="shared" si="58"/>
        <v>1.6417573086416443E-4</v>
      </c>
      <c r="Q290">
        <f t="shared" si="59"/>
        <v>1.8709223754204745E-4</v>
      </c>
      <c r="V290">
        <f t="shared" si="60"/>
        <v>288</v>
      </c>
      <c r="W290">
        <f t="shared" si="49"/>
        <v>0.13547602124099872</v>
      </c>
      <c r="X290">
        <f t="shared" si="50"/>
        <v>4.8510400810657564E-2</v>
      </c>
      <c r="Y290">
        <f t="shared" si="51"/>
        <v>2.3512568605420857E-2</v>
      </c>
      <c r="Z290">
        <f>100*(P290/$T$5)</f>
        <v>1.0772685752241761E-2</v>
      </c>
      <c r="AA290">
        <f>100*(Q290/$T$6)</f>
        <v>3.5951621357042168E-3</v>
      </c>
    </row>
    <row r="291" spans="1:27" x14ac:dyDescent="0.3">
      <c r="A291">
        <v>6936</v>
      </c>
      <c r="B291">
        <v>6214048.1053666901</v>
      </c>
      <c r="C291">
        <v>79354513.609049097</v>
      </c>
      <c r="D291">
        <v>52694295.140455</v>
      </c>
      <c r="E291">
        <v>35232830.641513199</v>
      </c>
      <c r="F291">
        <v>20229238.611488301</v>
      </c>
      <c r="G291">
        <v>24745836.459856398</v>
      </c>
      <c r="H291">
        <v>28099466.478376001</v>
      </c>
      <c r="J291">
        <f t="shared" si="52"/>
        <v>289</v>
      </c>
      <c r="K291">
        <f t="shared" si="53"/>
        <v>4.1537754715017985E-5</v>
      </c>
      <c r="L291">
        <f t="shared" si="54"/>
        <v>5.3044460968615706E-4</v>
      </c>
      <c r="M291">
        <f t="shared" si="55"/>
        <v>3.5223459318485962E-4</v>
      </c>
      <c r="N291">
        <f t="shared" si="56"/>
        <v>2.3551357380690642E-4</v>
      </c>
      <c r="O291">
        <f t="shared" si="57"/>
        <v>1.3522218323187368E-4</v>
      </c>
      <c r="P291">
        <f t="shared" si="58"/>
        <v>1.6541334531989572E-4</v>
      </c>
      <c r="Q291">
        <f t="shared" si="59"/>
        <v>1.8783065827791443E-4</v>
      </c>
      <c r="V291">
        <f t="shared" si="60"/>
        <v>289</v>
      </c>
      <c r="W291">
        <f t="shared" si="49"/>
        <v>0.13706579061657803</v>
      </c>
      <c r="X291">
        <f t="shared" si="50"/>
        <v>4.8718477618929411E-2</v>
      </c>
      <c r="Y291">
        <f t="shared" si="51"/>
        <v>2.3551357380690641E-2</v>
      </c>
      <c r="Z291">
        <f>100*(P291/$T$5)</f>
        <v>1.0853894049861923E-2</v>
      </c>
      <c r="AA291">
        <f>100*(Q291/$T$6)</f>
        <v>3.6093516194833672E-3</v>
      </c>
    </row>
    <row r="292" spans="1:27" x14ac:dyDescent="0.3">
      <c r="A292">
        <v>6960</v>
      </c>
      <c r="B292">
        <v>6257238.0423913701</v>
      </c>
      <c r="C292">
        <v>80132445.366096303</v>
      </c>
      <c r="D292">
        <v>52919033.079019502</v>
      </c>
      <c r="E292">
        <v>35279206.622599103</v>
      </c>
      <c r="F292">
        <v>15793338.8180646</v>
      </c>
      <c r="G292">
        <v>24931794.011002</v>
      </c>
      <c r="H292">
        <v>28282271.6154093</v>
      </c>
      <c r="J292">
        <f t="shared" si="52"/>
        <v>290</v>
      </c>
      <c r="K292">
        <f t="shared" si="53"/>
        <v>4.1826457502616109E-5</v>
      </c>
      <c r="L292">
        <f t="shared" si="54"/>
        <v>5.3564468827604482E-4</v>
      </c>
      <c r="M292">
        <f t="shared" si="55"/>
        <v>3.5373685213248328E-4</v>
      </c>
      <c r="N292">
        <f t="shared" si="56"/>
        <v>2.3582357368047527E-4</v>
      </c>
      <c r="O292">
        <f t="shared" si="57"/>
        <v>1.0557044664481684E-4</v>
      </c>
      <c r="P292">
        <f t="shared" si="58"/>
        <v>1.6665637707889038E-4</v>
      </c>
      <c r="Q292">
        <f t="shared" si="59"/>
        <v>1.8905261775006217E-4</v>
      </c>
      <c r="V292">
        <f t="shared" si="60"/>
        <v>290</v>
      </c>
      <c r="W292">
        <f t="shared" si="49"/>
        <v>0.1384094801746886</v>
      </c>
      <c r="X292">
        <f t="shared" si="50"/>
        <v>4.8926258939485941E-2</v>
      </c>
      <c r="Y292">
        <f t="shared" si="51"/>
        <v>2.3582357368047528E-2</v>
      </c>
      <c r="Z292">
        <f>100*(P292/$T$5)</f>
        <v>1.0935457813575484E-2</v>
      </c>
      <c r="AA292">
        <f>100*(Q292/$T$6)</f>
        <v>3.6328327776722169E-3</v>
      </c>
    </row>
    <row r="293" spans="1:27" x14ac:dyDescent="0.3">
      <c r="A293">
        <v>6984</v>
      </c>
      <c r="B293">
        <v>6300578.3777952697</v>
      </c>
      <c r="C293">
        <v>80759217.892726496</v>
      </c>
      <c r="D293">
        <v>53143352.693384796</v>
      </c>
      <c r="E293">
        <v>35310961.252558</v>
      </c>
      <c r="F293">
        <v>12792484.5823923</v>
      </c>
      <c r="G293">
        <v>25118563.268446099</v>
      </c>
      <c r="H293">
        <v>28458712.686595999</v>
      </c>
      <c r="J293">
        <f t="shared" si="52"/>
        <v>291</v>
      </c>
      <c r="K293">
        <f t="shared" si="53"/>
        <v>4.2116165626973726E-5</v>
      </c>
      <c r="L293">
        <f t="shared" si="54"/>
        <v>5.3983434420271721E-4</v>
      </c>
      <c r="M293">
        <f t="shared" si="55"/>
        <v>3.5523631479535291E-4</v>
      </c>
      <c r="N293">
        <f t="shared" si="56"/>
        <v>2.3603583724971926E-4</v>
      </c>
      <c r="O293">
        <f t="shared" si="57"/>
        <v>8.5511260577488638E-5</v>
      </c>
      <c r="P293">
        <f t="shared" si="58"/>
        <v>1.6790483468212634E-4</v>
      </c>
      <c r="Q293">
        <f t="shared" si="59"/>
        <v>1.9023203667510694E-4</v>
      </c>
      <c r="V293">
        <f t="shared" si="60"/>
        <v>291</v>
      </c>
      <c r="W293">
        <f t="shared" si="49"/>
        <v>0.13949207860535329</v>
      </c>
      <c r="X293">
        <f t="shared" si="50"/>
        <v>4.9133653498665684E-2</v>
      </c>
      <c r="Y293">
        <f t="shared" si="51"/>
        <v>2.3603583724971927E-2</v>
      </c>
      <c r="Z293">
        <f>100*(P293/$T$5)</f>
        <v>1.1017377603814065E-2</v>
      </c>
      <c r="AA293">
        <f>100*(Q293/$T$6)</f>
        <v>3.6554964772311095E-3</v>
      </c>
    </row>
    <row r="294" spans="1:27" x14ac:dyDescent="0.3">
      <c r="A294">
        <v>7008</v>
      </c>
      <c r="B294">
        <v>6344069.1271078195</v>
      </c>
      <c r="C294">
        <v>81229561.469362199</v>
      </c>
      <c r="D294">
        <v>53367155.154612802</v>
      </c>
      <c r="E294">
        <v>35326448.253801197</v>
      </c>
      <c r="F294">
        <v>12673549.173110301</v>
      </c>
      <c r="G294">
        <v>25306145.539096601</v>
      </c>
      <c r="H294">
        <v>28627449.990624301</v>
      </c>
      <c r="J294">
        <f t="shared" si="52"/>
        <v>292</v>
      </c>
      <c r="K294">
        <f t="shared" si="53"/>
        <v>4.2406879191897189E-5</v>
      </c>
      <c r="L294">
        <f t="shared" si="54"/>
        <v>5.4297835206792912E-4</v>
      </c>
      <c r="M294">
        <f t="shared" si="55"/>
        <v>3.5673232055222459E-4</v>
      </c>
      <c r="N294">
        <f t="shared" si="56"/>
        <v>2.3613935998530213E-4</v>
      </c>
      <c r="O294">
        <f t="shared" si="57"/>
        <v>8.4716237788170454E-5</v>
      </c>
      <c r="P294">
        <f t="shared" si="58"/>
        <v>1.69158726865619E-4</v>
      </c>
      <c r="Q294">
        <f t="shared" si="59"/>
        <v>1.9135995983037633E-4</v>
      </c>
      <c r="V294">
        <f t="shared" si="60"/>
        <v>292</v>
      </c>
      <c r="W294">
        <f t="shared" si="49"/>
        <v>0.14030448373848298</v>
      </c>
      <c r="X294">
        <f t="shared" si="50"/>
        <v>4.9340569924235765E-2</v>
      </c>
      <c r="Y294">
        <f t="shared" si="51"/>
        <v>2.3613935998530212E-2</v>
      </c>
      <c r="Z294">
        <f>100*(P294/$T$5)</f>
        <v>1.1099653993807022E-2</v>
      </c>
      <c r="AA294">
        <f>100*(Q294/$T$6)</f>
        <v>3.6771706347113052E-3</v>
      </c>
    </row>
    <row r="295" spans="1:27" x14ac:dyDescent="0.3">
      <c r="A295">
        <v>7032</v>
      </c>
      <c r="B295">
        <v>6387710.3023719797</v>
      </c>
      <c r="C295">
        <v>81541791.139202401</v>
      </c>
      <c r="D295">
        <v>53590341.638471998</v>
      </c>
      <c r="E295">
        <v>35325753.906988703</v>
      </c>
      <c r="F295">
        <v>15511108.022221999</v>
      </c>
      <c r="G295">
        <v>25494542.253225401</v>
      </c>
      <c r="H295">
        <v>28708722.796489</v>
      </c>
      <c r="J295">
        <f t="shared" si="52"/>
        <v>293</v>
      </c>
      <c r="K295">
        <f t="shared" si="53"/>
        <v>4.2698598277887562E-5</v>
      </c>
      <c r="L295">
        <f t="shared" si="54"/>
        <v>5.450654487914599E-4</v>
      </c>
      <c r="M295">
        <f t="shared" si="55"/>
        <v>3.5822420881331552E-4</v>
      </c>
      <c r="N295">
        <f t="shared" si="56"/>
        <v>2.3613471862960362E-4</v>
      </c>
      <c r="O295">
        <f t="shared" si="57"/>
        <v>1.0368387715389036E-4</v>
      </c>
      <c r="P295">
        <f t="shared" si="58"/>
        <v>1.7041806319000936E-4</v>
      </c>
      <c r="Q295">
        <f t="shared" si="59"/>
        <v>1.9190322724925804E-4</v>
      </c>
      <c r="V295">
        <f t="shared" si="60"/>
        <v>293</v>
      </c>
      <c r="W295">
        <f t="shared" si="49"/>
        <v>0.14084378521743149</v>
      </c>
      <c r="X295">
        <f t="shared" si="50"/>
        <v>4.9546916848314734E-2</v>
      </c>
      <c r="Y295">
        <f t="shared" si="51"/>
        <v>2.3613471862960363E-2</v>
      </c>
      <c r="Z295">
        <f>100*(P295/$T$5)</f>
        <v>1.1182287610893002E-2</v>
      </c>
      <c r="AA295">
        <f>100*(Q295/$T$6)</f>
        <v>3.6876100547513077E-3</v>
      </c>
    </row>
    <row r="296" spans="1:27" x14ac:dyDescent="0.3">
      <c r="A296">
        <v>7056</v>
      </c>
      <c r="B296">
        <v>6431501.9123933204</v>
      </c>
      <c r="C296">
        <v>81697734.298491597</v>
      </c>
      <c r="D296">
        <v>53812813.435055099</v>
      </c>
      <c r="E296">
        <v>35310636.417226002</v>
      </c>
      <c r="F296">
        <v>19888443.2928393</v>
      </c>
      <c r="G296">
        <v>25683754.877578601</v>
      </c>
      <c r="H296">
        <v>28669526.463031299</v>
      </c>
      <c r="J296">
        <f t="shared" si="52"/>
        <v>294</v>
      </c>
      <c r="K296">
        <f t="shared" si="53"/>
        <v>4.2991322943805618E-5</v>
      </c>
      <c r="L296">
        <f t="shared" si="54"/>
        <v>5.4610784958884762E-4</v>
      </c>
      <c r="M296">
        <f t="shared" si="55"/>
        <v>3.597113197530421E-4</v>
      </c>
      <c r="N296">
        <f t="shared" si="56"/>
        <v>2.3603366589054813E-4</v>
      </c>
      <c r="O296">
        <f t="shared" si="57"/>
        <v>1.329441396580167E-4</v>
      </c>
      <c r="P296">
        <f t="shared" si="58"/>
        <v>1.7168285345975002E-4</v>
      </c>
      <c r="Q296">
        <f t="shared" si="59"/>
        <v>1.9164121967266912E-4</v>
      </c>
      <c r="V296">
        <f t="shared" si="60"/>
        <v>294</v>
      </c>
      <c r="W296">
        <f t="shared" si="49"/>
        <v>0.14111313942864279</v>
      </c>
      <c r="X296">
        <f t="shared" si="50"/>
        <v>4.9752603008719518E-2</v>
      </c>
      <c r="Y296">
        <f t="shared" si="51"/>
        <v>2.3603366589054812E-2</v>
      </c>
      <c r="Z296">
        <f>100*(P296/$T$5)</f>
        <v>1.1265279098408795E-2</v>
      </c>
      <c r="AA296">
        <f>100*(Q296/$T$6)</f>
        <v>3.6825753203818049E-3</v>
      </c>
    </row>
    <row r="297" spans="1:27" x14ac:dyDescent="0.3">
      <c r="A297">
        <v>7080</v>
      </c>
      <c r="B297">
        <v>6475443.9627567697</v>
      </c>
      <c r="C297">
        <v>81702440.5704813</v>
      </c>
      <c r="D297">
        <v>54034472.0637246</v>
      </c>
      <c r="E297">
        <v>35284040.154052898</v>
      </c>
      <c r="F297">
        <v>24727976.0962753</v>
      </c>
      <c r="G297">
        <v>25873784.7421824</v>
      </c>
      <c r="H297">
        <v>28730172.335848499</v>
      </c>
      <c r="J297">
        <f t="shared" si="52"/>
        <v>295</v>
      </c>
      <c r="K297">
        <f t="shared" si="53"/>
        <v>4.3285053226983757E-5</v>
      </c>
      <c r="L297">
        <f t="shared" si="54"/>
        <v>5.4613930862621189E-4</v>
      </c>
      <c r="M297">
        <f t="shared" si="55"/>
        <v>3.6119299507837298E-4</v>
      </c>
      <c r="N297">
        <f t="shared" si="56"/>
        <v>2.3585588338270654E-4</v>
      </c>
      <c r="O297">
        <f t="shared" si="57"/>
        <v>1.6529395786280281E-4</v>
      </c>
      <c r="P297">
        <f t="shared" si="58"/>
        <v>1.7295310656539038E-4</v>
      </c>
      <c r="Q297">
        <f t="shared" si="59"/>
        <v>1.9204660652305145E-4</v>
      </c>
      <c r="V297">
        <f t="shared" si="60"/>
        <v>295</v>
      </c>
      <c r="W297">
        <f t="shared" si="49"/>
        <v>0.1411212683788661</v>
      </c>
      <c r="X297">
        <f t="shared" si="50"/>
        <v>4.9957537355238307E-2</v>
      </c>
      <c r="Y297">
        <f t="shared" si="51"/>
        <v>2.3585588338270656E-2</v>
      </c>
      <c r="Z297">
        <f>100*(P297/$T$5)</f>
        <v>1.1348629039723779E-2</v>
      </c>
      <c r="AA297">
        <f>100*(Q297/$T$6)</f>
        <v>3.6903652291132103E-3</v>
      </c>
    </row>
    <row r="298" spans="1:27" x14ac:dyDescent="0.3">
      <c r="A298">
        <v>7104</v>
      </c>
      <c r="B298">
        <v>6519536.4558297498</v>
      </c>
      <c r="C298">
        <v>81563718.682980299</v>
      </c>
      <c r="D298">
        <v>54255219.3830764</v>
      </c>
      <c r="E298">
        <v>35249432.495715201</v>
      </c>
      <c r="F298">
        <v>29521749.253855102</v>
      </c>
      <c r="G298">
        <v>26064633.017452002</v>
      </c>
      <c r="H298">
        <v>28757338.465817299</v>
      </c>
      <c r="J298">
        <f t="shared" si="52"/>
        <v>296</v>
      </c>
      <c r="K298">
        <f t="shared" si="53"/>
        <v>4.3579789143246989E-5</v>
      </c>
      <c r="L298">
        <f t="shared" si="54"/>
        <v>5.4521202328195384E-4</v>
      </c>
      <c r="M298">
        <f t="shared" si="55"/>
        <v>3.6266857876387967E-4</v>
      </c>
      <c r="N298">
        <f t="shared" si="56"/>
        <v>2.3562454876814974E-4</v>
      </c>
      <c r="O298">
        <f t="shared" si="57"/>
        <v>1.9733789608191913E-4</v>
      </c>
      <c r="P298">
        <f t="shared" si="58"/>
        <v>1.7422883033056151E-4</v>
      </c>
      <c r="Q298">
        <f t="shared" si="59"/>
        <v>1.9222819830091778E-4</v>
      </c>
      <c r="V298">
        <f t="shared" si="60"/>
        <v>296</v>
      </c>
      <c r="W298">
        <f t="shared" si="49"/>
        <v>0.14088165976277875</v>
      </c>
      <c r="X298">
        <f t="shared" si="50"/>
        <v>5.0161629151297321E-2</v>
      </c>
      <c r="Y298">
        <f t="shared" si="51"/>
        <v>2.3562454876814975E-2</v>
      </c>
      <c r="Z298">
        <f>100*(P298/$T$5)</f>
        <v>1.1432337948199573E-2</v>
      </c>
      <c r="AA298">
        <f>100*(Q298/$T$6)</f>
        <v>3.6938546944834316E-3</v>
      </c>
    </row>
    <row r="299" spans="1:27" x14ac:dyDescent="0.3">
      <c r="A299">
        <v>7128</v>
      </c>
      <c r="B299">
        <v>6563779.3911106698</v>
      </c>
      <c r="C299">
        <v>81291561.277266204</v>
      </c>
      <c r="D299">
        <v>54474957.707318299</v>
      </c>
      <c r="E299">
        <v>35210228.635077201</v>
      </c>
      <c r="F299">
        <v>34042049.334978998</v>
      </c>
      <c r="G299">
        <v>26256300.867425699</v>
      </c>
      <c r="H299">
        <v>28878338.459256001</v>
      </c>
      <c r="J299">
        <f t="shared" si="52"/>
        <v>297</v>
      </c>
      <c r="K299">
        <f t="shared" si="53"/>
        <v>4.3875530689242445E-5</v>
      </c>
      <c r="L299">
        <f t="shared" si="54"/>
        <v>5.4339278928653876E-4</v>
      </c>
      <c r="M299">
        <f t="shared" si="55"/>
        <v>3.6413741782966778E-4</v>
      </c>
      <c r="N299">
        <f t="shared" si="56"/>
        <v>2.3536249087618451E-4</v>
      </c>
      <c r="O299">
        <f t="shared" si="57"/>
        <v>2.2755380571510026E-4</v>
      </c>
      <c r="P299">
        <f t="shared" si="58"/>
        <v>1.7551003253626804E-4</v>
      </c>
      <c r="Q299">
        <f t="shared" si="59"/>
        <v>1.9303702178647059E-4</v>
      </c>
      <c r="V299">
        <f t="shared" si="60"/>
        <v>297</v>
      </c>
      <c r="W299">
        <f t="shared" si="49"/>
        <v>0.14041157345905395</v>
      </c>
      <c r="X299">
        <f t="shared" si="50"/>
        <v>5.0364788081558483E-2</v>
      </c>
      <c r="Y299">
        <f t="shared" si="51"/>
        <v>2.3536249087618449E-2</v>
      </c>
      <c r="Z299">
        <f>100*(P299/$T$5)</f>
        <v>1.151640633440079E-2</v>
      </c>
      <c r="AA299">
        <f>100*(Q299/$T$6)</f>
        <v>3.7093970366347158E-3</v>
      </c>
    </row>
    <row r="300" spans="1:27" x14ac:dyDescent="0.3">
      <c r="A300">
        <v>7152</v>
      </c>
      <c r="B300">
        <v>6608172.7659841096</v>
      </c>
      <c r="C300">
        <v>80897523.031715199</v>
      </c>
      <c r="D300">
        <v>54693589.9194353</v>
      </c>
      <c r="E300">
        <v>35169442.570851602</v>
      </c>
      <c r="F300">
        <v>38186851.099308997</v>
      </c>
      <c r="G300">
        <v>26448789.598912399</v>
      </c>
      <c r="H300">
        <v>28999003.301270802</v>
      </c>
      <c r="J300">
        <f t="shared" si="52"/>
        <v>298</v>
      </c>
      <c r="K300">
        <f t="shared" si="53"/>
        <v>4.4172277847487364E-5</v>
      </c>
      <c r="L300">
        <f t="shared" si="54"/>
        <v>5.4075884379488771E-4</v>
      </c>
      <c r="M300">
        <f t="shared" si="55"/>
        <v>3.6559886309782955E-4</v>
      </c>
      <c r="N300">
        <f t="shared" si="56"/>
        <v>2.3508985675702943E-4</v>
      </c>
      <c r="O300">
        <f t="shared" si="57"/>
        <v>2.5525969986169115E-4</v>
      </c>
      <c r="P300">
        <f t="shared" si="58"/>
        <v>1.7679672191786363E-4</v>
      </c>
      <c r="Q300">
        <f t="shared" si="59"/>
        <v>1.9384360495501872E-4</v>
      </c>
      <c r="V300">
        <f t="shared" si="60"/>
        <v>298</v>
      </c>
      <c r="W300">
        <f t="shared" si="49"/>
        <v>0.13973096738885987</v>
      </c>
      <c r="X300">
        <f t="shared" si="50"/>
        <v>5.0566924356546278E-2</v>
      </c>
      <c r="Y300">
        <f t="shared" si="51"/>
        <v>2.3508985675702941E-2</v>
      </c>
      <c r="Z300">
        <f>100*(P300/$T$5)</f>
        <v>1.1600834771513361E-2</v>
      </c>
      <c r="AA300">
        <f>100*(Q300/$T$6)</f>
        <v>3.7248963288819895E-3</v>
      </c>
    </row>
    <row r="301" spans="1:27" x14ac:dyDescent="0.3">
      <c r="A301">
        <v>7176</v>
      </c>
      <c r="B301">
        <v>6652716.5765416604</v>
      </c>
      <c r="C301">
        <v>80394111.268798098</v>
      </c>
      <c r="D301">
        <v>54911019.594321802</v>
      </c>
      <c r="E301">
        <v>35129562.676689297</v>
      </c>
      <c r="F301">
        <v>41913142.505515002</v>
      </c>
      <c r="G301">
        <v>26642100.607532501</v>
      </c>
      <c r="H301">
        <v>29171167.676180001</v>
      </c>
      <c r="J301">
        <f t="shared" si="52"/>
        <v>299</v>
      </c>
      <c r="K301">
        <f t="shared" si="53"/>
        <v>4.447003059185602E-5</v>
      </c>
      <c r="L301">
        <f t="shared" si="54"/>
        <v>5.3739379190373057E-4</v>
      </c>
      <c r="M301">
        <f t="shared" si="55"/>
        <v>3.6705227001552007E-4</v>
      </c>
      <c r="N301">
        <f t="shared" si="56"/>
        <v>2.3482327992439369E-4</v>
      </c>
      <c r="O301">
        <f t="shared" si="57"/>
        <v>2.8016806487643719E-4</v>
      </c>
      <c r="P301">
        <f t="shared" si="58"/>
        <v>1.7808890780436165E-4</v>
      </c>
      <c r="Q301">
        <f t="shared" si="59"/>
        <v>1.9499443633810162E-4</v>
      </c>
      <c r="V301">
        <f t="shared" si="60"/>
        <v>299</v>
      </c>
      <c r="W301">
        <f t="shared" si="49"/>
        <v>0.13886144493636449</v>
      </c>
      <c r="X301">
        <f t="shared" si="50"/>
        <v>5.0767948826489641E-2</v>
      </c>
      <c r="Y301">
        <f t="shared" si="51"/>
        <v>2.3482327992439371E-2</v>
      </c>
      <c r="Z301">
        <f>100*(P301/$T$5)</f>
        <v>1.1685623871677273E-2</v>
      </c>
      <c r="AA301">
        <f>100*(Q301/$T$6)</f>
        <v>3.7470106905861189E-3</v>
      </c>
    </row>
    <row r="302" spans="1:27" x14ac:dyDescent="0.3">
      <c r="A302">
        <v>7200</v>
      </c>
      <c r="B302">
        <v>6697410.8181001404</v>
      </c>
      <c r="C302">
        <v>79794234.775516197</v>
      </c>
      <c r="D302">
        <v>55127151.110537797</v>
      </c>
      <c r="E302">
        <v>35092577.617657103</v>
      </c>
      <c r="F302">
        <v>45205365.277713299</v>
      </c>
      <c r="G302">
        <v>26836235.2457412</v>
      </c>
      <c r="H302">
        <v>29270625.203448299</v>
      </c>
      <c r="J302">
        <f t="shared" si="52"/>
        <v>300</v>
      </c>
      <c r="K302">
        <f t="shared" si="53"/>
        <v>4.476878889104372E-5</v>
      </c>
      <c r="L302">
        <f t="shared" si="54"/>
        <v>5.3338392229623126E-4</v>
      </c>
      <c r="M302">
        <f t="shared" si="55"/>
        <v>3.6849699940199064E-4</v>
      </c>
      <c r="N302">
        <f t="shared" si="56"/>
        <v>2.3457605359396459E-4</v>
      </c>
      <c r="O302">
        <f t="shared" si="57"/>
        <v>3.0217490158899264E-4</v>
      </c>
      <c r="P302">
        <f t="shared" si="58"/>
        <v>1.7938659923623796E-4</v>
      </c>
      <c r="Q302">
        <f t="shared" si="59"/>
        <v>1.9565925938133891E-4</v>
      </c>
      <c r="V302">
        <f t="shared" si="60"/>
        <v>300</v>
      </c>
      <c r="W302">
        <f t="shared" si="49"/>
        <v>0.13782530291892278</v>
      </c>
      <c r="X302">
        <f t="shared" si="50"/>
        <v>5.0967773084646013E-2</v>
      </c>
      <c r="Y302">
        <f t="shared" si="51"/>
        <v>2.345760535939646E-2</v>
      </c>
      <c r="Z302">
        <f>100*(P302/$T$5)</f>
        <v>1.1770774228099603E-2</v>
      </c>
      <c r="AA302">
        <f>100*(Q302/$T$6)</f>
        <v>3.7597859220088185E-3</v>
      </c>
    </row>
    <row r="303" spans="1:27" x14ac:dyDescent="0.3">
      <c r="A303">
        <v>7224</v>
      </c>
      <c r="B303">
        <v>6742255.4854051601</v>
      </c>
      <c r="C303">
        <v>79110740.095228404</v>
      </c>
      <c r="D303">
        <v>55341889.773391001</v>
      </c>
      <c r="E303">
        <v>35060071.2766959</v>
      </c>
      <c r="F303">
        <v>48059170.679195598</v>
      </c>
      <c r="G303">
        <v>27031194.7642534</v>
      </c>
      <c r="H303">
        <v>29282513.5739532</v>
      </c>
      <c r="J303">
        <f t="shared" si="52"/>
        <v>301</v>
      </c>
      <c r="K303">
        <f t="shared" si="53"/>
        <v>4.5068552709927539E-5</v>
      </c>
      <c r="L303">
        <f t="shared" si="54"/>
        <v>5.2881510758842512E-4</v>
      </c>
      <c r="M303">
        <f t="shared" si="55"/>
        <v>3.6993241827133023E-4</v>
      </c>
      <c r="N303">
        <f t="shared" si="56"/>
        <v>2.3435876521855548E-4</v>
      </c>
      <c r="O303">
        <f t="shared" si="57"/>
        <v>3.2125114090371387E-4</v>
      </c>
      <c r="P303">
        <f t="shared" si="58"/>
        <v>1.8068980457388637E-4</v>
      </c>
      <c r="Q303">
        <f t="shared" si="59"/>
        <v>1.9573872709861766E-4</v>
      </c>
      <c r="V303">
        <f t="shared" si="60"/>
        <v>301</v>
      </c>
      <c r="W303">
        <f t="shared" si="49"/>
        <v>0.13664473064300392</v>
      </c>
      <c r="X303">
        <f t="shared" si="50"/>
        <v>5.1166309581096851E-2</v>
      </c>
      <c r="Y303">
        <f t="shared" si="51"/>
        <v>2.343587652185555E-2</v>
      </c>
      <c r="Z303">
        <f>100*(P303/$T$5)</f>
        <v>1.1856286389362623E-2</v>
      </c>
      <c r="AA303">
        <f>100*(Q303/$T$6)</f>
        <v>3.7613129726867343E-3</v>
      </c>
    </row>
    <row r="304" spans="1:27" x14ac:dyDescent="0.3">
      <c r="A304">
        <v>7248</v>
      </c>
      <c r="B304">
        <v>6787250.5729384599</v>
      </c>
      <c r="C304">
        <v>78356048.575158298</v>
      </c>
      <c r="D304">
        <v>55555141.931327902</v>
      </c>
      <c r="E304">
        <v>35033328.714073703</v>
      </c>
      <c r="F304">
        <v>50472978.351704702</v>
      </c>
      <c r="G304">
        <v>27226980.388640299</v>
      </c>
      <c r="H304">
        <v>29394699.7428758</v>
      </c>
      <c r="J304">
        <f t="shared" si="52"/>
        <v>302</v>
      </c>
      <c r="K304">
        <f t="shared" si="53"/>
        <v>4.5369322011620722E-5</v>
      </c>
      <c r="L304">
        <f t="shared" si="54"/>
        <v>5.2377037817619187E-4</v>
      </c>
      <c r="M304">
        <f t="shared" si="55"/>
        <v>3.7135790061048062E-4</v>
      </c>
      <c r="N304">
        <f t="shared" si="56"/>
        <v>2.3418000477321994E-4</v>
      </c>
      <c r="O304">
        <f t="shared" si="57"/>
        <v>3.3738621892850739E-4</v>
      </c>
      <c r="P304">
        <f t="shared" si="58"/>
        <v>1.8199853200962768E-4</v>
      </c>
      <c r="Q304">
        <f t="shared" si="59"/>
        <v>1.9648863464489171E-4</v>
      </c>
      <c r="V304">
        <f t="shared" si="60"/>
        <v>302</v>
      </c>
      <c r="W304">
        <f t="shared" si="49"/>
        <v>0.13534118299126405</v>
      </c>
      <c r="X304">
        <f t="shared" si="50"/>
        <v>5.1363471730356929E-2</v>
      </c>
      <c r="Y304">
        <f t="shared" si="51"/>
        <v>2.3418000477321996E-2</v>
      </c>
      <c r="Z304">
        <f>100*(P304/$T$5)</f>
        <v>1.1942160893020188E-2</v>
      </c>
      <c r="AA304">
        <f>100*(Q304/$T$6)</f>
        <v>3.7757231868733995E-3</v>
      </c>
    </row>
    <row r="305" spans="1:27" x14ac:dyDescent="0.3">
      <c r="A305">
        <v>7272</v>
      </c>
      <c r="B305">
        <v>6832396.07573066</v>
      </c>
      <c r="C305">
        <v>77541894.429718003</v>
      </c>
      <c r="D305">
        <v>55766815.101575598</v>
      </c>
      <c r="E305">
        <v>35013422.086844198</v>
      </c>
      <c r="F305">
        <v>52443946.029625997</v>
      </c>
      <c r="G305">
        <v>27423593.375552699</v>
      </c>
      <c r="H305">
        <v>29491891.5591648</v>
      </c>
      <c r="J305">
        <f t="shared" si="52"/>
        <v>303</v>
      </c>
      <c r="K305">
        <f t="shared" si="53"/>
        <v>4.5671096762905479E-5</v>
      </c>
      <c r="L305">
        <f t="shared" si="54"/>
        <v>5.1832817132164445E-4</v>
      </c>
      <c r="M305">
        <f t="shared" si="55"/>
        <v>3.727728282190882E-4</v>
      </c>
      <c r="N305">
        <f t="shared" si="56"/>
        <v>2.3404693908318314E-4</v>
      </c>
      <c r="O305">
        <f t="shared" si="57"/>
        <v>3.5056113656167109E-4</v>
      </c>
      <c r="P305">
        <f t="shared" si="58"/>
        <v>1.833127899435341E-4</v>
      </c>
      <c r="Q305">
        <f t="shared" si="59"/>
        <v>1.9713831256126202E-4</v>
      </c>
      <c r="V305">
        <f t="shared" si="60"/>
        <v>303</v>
      </c>
      <c r="W305">
        <f t="shared" si="49"/>
        <v>0.13393492799008902</v>
      </c>
      <c r="X305">
        <f t="shared" si="50"/>
        <v>5.1559174027536403E-2</v>
      </c>
      <c r="Y305">
        <f t="shared" si="51"/>
        <v>2.3404693908318314E-2</v>
      </c>
      <c r="Z305">
        <f>100*(P305/$T$5)</f>
        <v>1.2028398290258143E-2</v>
      </c>
      <c r="AA305">
        <f>100*(Q305/$T$6)</f>
        <v>3.7882073897244819E-3</v>
      </c>
    </row>
    <row r="306" spans="1:27" x14ac:dyDescent="0.3">
      <c r="A306">
        <v>7296</v>
      </c>
      <c r="B306">
        <v>6877691.9897590401</v>
      </c>
      <c r="C306">
        <v>76679154.966133803</v>
      </c>
      <c r="D306">
        <v>55976818.095488302</v>
      </c>
      <c r="E306">
        <v>35001265.121925503</v>
      </c>
      <c r="F306">
        <v>53966526.267902099</v>
      </c>
      <c r="G306">
        <v>27621034.9569344</v>
      </c>
      <c r="H306">
        <v>29689290.087724101</v>
      </c>
      <c r="J306">
        <f t="shared" si="52"/>
        <v>304</v>
      </c>
      <c r="K306">
        <f t="shared" si="53"/>
        <v>4.597387693689198E-5</v>
      </c>
      <c r="L306">
        <f t="shared" si="54"/>
        <v>5.1256119629768582E-4</v>
      </c>
      <c r="M306">
        <f t="shared" si="55"/>
        <v>3.7417659154738171E-4</v>
      </c>
      <c r="N306">
        <f t="shared" si="56"/>
        <v>2.3396567594869989E-4</v>
      </c>
      <c r="O306">
        <f t="shared" si="57"/>
        <v>3.6073881195121724E-4</v>
      </c>
      <c r="P306">
        <f t="shared" si="58"/>
        <v>1.8463258661052408E-4</v>
      </c>
      <c r="Q306">
        <f t="shared" si="59"/>
        <v>1.9845782144200602E-4</v>
      </c>
      <c r="V306">
        <f t="shared" si="60"/>
        <v>304</v>
      </c>
      <c r="W306">
        <f t="shared" si="49"/>
        <v>0.13244475356529348</v>
      </c>
      <c r="X306">
        <f t="shared" si="50"/>
        <v>5.175333216422983E-2</v>
      </c>
      <c r="Y306">
        <f t="shared" si="51"/>
        <v>2.339656759486999E-2</v>
      </c>
      <c r="Z306">
        <f>100*(P306/$T$5)</f>
        <v>1.2114999121425465E-2</v>
      </c>
      <c r="AA306">
        <f>100*(Q306/$T$6)</f>
        <v>3.8135630561492322E-3</v>
      </c>
    </row>
    <row r="307" spans="1:27" x14ac:dyDescent="0.3">
      <c r="A307">
        <v>7320</v>
      </c>
      <c r="B307">
        <v>6923138.3109069597</v>
      </c>
      <c r="C307">
        <v>75777758.930847302</v>
      </c>
      <c r="D307">
        <v>56185061.133296601</v>
      </c>
      <c r="E307">
        <v>34997636.544922702</v>
      </c>
      <c r="F307">
        <v>55032492.757500403</v>
      </c>
      <c r="G307">
        <v>27819306.274605699</v>
      </c>
      <c r="H307">
        <v>29865934.7849271</v>
      </c>
      <c r="J307">
        <f t="shared" si="52"/>
        <v>305</v>
      </c>
      <c r="K307">
        <f t="shared" si="53"/>
        <v>4.6277662506062567E-5</v>
      </c>
      <c r="L307">
        <f t="shared" si="54"/>
        <v>5.0653582173026273E-4</v>
      </c>
      <c r="M307">
        <f t="shared" si="55"/>
        <v>3.7556859046321256E-4</v>
      </c>
      <c r="N307">
        <f t="shared" si="56"/>
        <v>2.3394142075483089E-4</v>
      </c>
      <c r="O307">
        <f t="shared" si="57"/>
        <v>3.6786425640040376E-4</v>
      </c>
      <c r="P307">
        <f t="shared" si="58"/>
        <v>1.8595792964308622E-4</v>
      </c>
      <c r="Q307">
        <f t="shared" si="59"/>
        <v>1.996386015035234E-4</v>
      </c>
      <c r="V307">
        <f t="shared" si="60"/>
        <v>305</v>
      </c>
      <c r="W307">
        <f t="shared" si="49"/>
        <v>0.13088780923262602</v>
      </c>
      <c r="X307">
        <f t="shared" si="50"/>
        <v>5.1945863134607542E-2</v>
      </c>
      <c r="Y307">
        <f t="shared" si="51"/>
        <v>2.3394142075483088E-2</v>
      </c>
      <c r="Z307">
        <f>100*(P307/$T$5)</f>
        <v>1.2201963887341615E-2</v>
      </c>
      <c r="AA307">
        <f>100*(Q307/$T$6)</f>
        <v>3.8362529112898423E-3</v>
      </c>
    </row>
    <row r="308" spans="1:27" x14ac:dyDescent="0.3">
      <c r="A308">
        <v>7344</v>
      </c>
      <c r="B308">
        <v>6968735.0364172403</v>
      </c>
      <c r="C308">
        <v>74846656.955419093</v>
      </c>
      <c r="D308">
        <v>56391455.982592098</v>
      </c>
      <c r="E308">
        <v>35003179.096781798</v>
      </c>
      <c r="F308">
        <v>55631678.571210198</v>
      </c>
      <c r="G308">
        <v>28018408.444679402</v>
      </c>
      <c r="H308">
        <v>30104527.364282701</v>
      </c>
      <c r="J308">
        <f t="shared" si="52"/>
        <v>306</v>
      </c>
      <c r="K308">
        <f t="shared" si="53"/>
        <v>4.6582453451986899E-5</v>
      </c>
      <c r="L308">
        <f t="shared" si="54"/>
        <v>5.003118780442453E-4</v>
      </c>
      <c r="M308">
        <f t="shared" si="55"/>
        <v>3.7694823517775465E-4</v>
      </c>
      <c r="N308">
        <f t="shared" si="56"/>
        <v>2.3397846989827405E-4</v>
      </c>
      <c r="O308">
        <f t="shared" si="57"/>
        <v>3.7186950916584359E-4</v>
      </c>
      <c r="P308">
        <f t="shared" si="58"/>
        <v>1.8728882650186765E-4</v>
      </c>
      <c r="Q308">
        <f t="shared" si="59"/>
        <v>2.012334716863817E-4</v>
      </c>
      <c r="V308">
        <f t="shared" si="60"/>
        <v>306</v>
      </c>
      <c r="W308">
        <f t="shared" si="49"/>
        <v>0.12927955505019256</v>
      </c>
      <c r="X308">
        <f t="shared" si="50"/>
        <v>5.2136685363451542E-2</v>
      </c>
      <c r="Y308">
        <f t="shared" si="51"/>
        <v>2.3397846989827404E-2</v>
      </c>
      <c r="Z308">
        <f>100*(P308/$T$5)</f>
        <v>1.228929307755037E-2</v>
      </c>
      <c r="AA308">
        <f>100*(Q308/$T$6)</f>
        <v>3.8668999171095645E-3</v>
      </c>
    </row>
    <row r="309" spans="1:27" x14ac:dyDescent="0.3">
      <c r="A309">
        <v>7368</v>
      </c>
      <c r="B309">
        <v>7014482.1641676296</v>
      </c>
      <c r="C309">
        <v>73893838.388311401</v>
      </c>
      <c r="D309">
        <v>56595916.073575601</v>
      </c>
      <c r="E309">
        <v>35018383.189516097</v>
      </c>
      <c r="F309">
        <v>55752878.560854003</v>
      </c>
      <c r="G309">
        <v>28218342.692063499</v>
      </c>
      <c r="H309">
        <v>30233841.770540301</v>
      </c>
      <c r="J309">
        <f t="shared" si="52"/>
        <v>307</v>
      </c>
      <c r="K309">
        <f t="shared" si="53"/>
        <v>4.6888249760478808E-5</v>
      </c>
      <c r="L309">
        <f t="shared" si="54"/>
        <v>4.9394276997534361E-4</v>
      </c>
      <c r="M309">
        <f t="shared" si="55"/>
        <v>3.7831494701587971E-4</v>
      </c>
      <c r="N309">
        <f t="shared" si="56"/>
        <v>2.3408010153419851E-4</v>
      </c>
      <c r="O309">
        <f t="shared" si="57"/>
        <v>3.7267966952442516E-4</v>
      </c>
      <c r="P309">
        <f t="shared" si="58"/>
        <v>1.8862528537475602E-4</v>
      </c>
      <c r="Q309">
        <f t="shared" si="59"/>
        <v>2.0209787279772929E-4</v>
      </c>
      <c r="V309">
        <f t="shared" si="60"/>
        <v>307</v>
      </c>
      <c r="W309">
        <f t="shared" si="49"/>
        <v>0.12763379069130326</v>
      </c>
      <c r="X309">
        <f t="shared" si="50"/>
        <v>5.2325718812708123E-2</v>
      </c>
      <c r="Y309">
        <f t="shared" si="51"/>
        <v>2.340801015341985E-2</v>
      </c>
      <c r="Z309">
        <f>100*(P309/$T$5)</f>
        <v>1.23769872293147E-2</v>
      </c>
      <c r="AA309">
        <f>100*(Q309/$T$6)</f>
        <v>3.8835102382346136E-3</v>
      </c>
    </row>
    <row r="310" spans="1:27" x14ac:dyDescent="0.3">
      <c r="A310">
        <v>7392</v>
      </c>
      <c r="B310">
        <v>7060379.6928052902</v>
      </c>
      <c r="C310">
        <v>72926380.502258897</v>
      </c>
      <c r="D310">
        <v>56798356.631703198</v>
      </c>
      <c r="E310">
        <v>35043563.685502499</v>
      </c>
      <c r="F310">
        <v>55384532.130527601</v>
      </c>
      <c r="G310">
        <v>28419110.345402502</v>
      </c>
      <c r="H310">
        <v>30257171.522320099</v>
      </c>
      <c r="J310">
        <f t="shared" si="52"/>
        <v>308</v>
      </c>
      <c r="K310">
        <f t="shared" si="53"/>
        <v>4.7195051422495254E-5</v>
      </c>
      <c r="L310">
        <f t="shared" si="54"/>
        <v>4.8747580549638299E-4</v>
      </c>
      <c r="M310">
        <f t="shared" si="55"/>
        <v>3.7966815930282885E-4</v>
      </c>
      <c r="N310">
        <f t="shared" si="56"/>
        <v>2.3424842035763702E-4</v>
      </c>
      <c r="O310">
        <f t="shared" si="57"/>
        <v>3.7021746076555884E-4</v>
      </c>
      <c r="P310">
        <f t="shared" si="58"/>
        <v>1.8996731514306486E-4</v>
      </c>
      <c r="Q310">
        <f t="shared" si="59"/>
        <v>2.022538203363643E-4</v>
      </c>
      <c r="V310">
        <f t="shared" si="60"/>
        <v>308</v>
      </c>
      <c r="W310">
        <f t="shared" si="49"/>
        <v>0.12596274043834185</v>
      </c>
      <c r="X310">
        <f t="shared" si="50"/>
        <v>5.2512885104125703E-2</v>
      </c>
      <c r="Y310">
        <f t="shared" si="51"/>
        <v>2.3424842035763702E-2</v>
      </c>
      <c r="Z310">
        <f>100*(P310/$T$5)</f>
        <v>1.2465046925397955E-2</v>
      </c>
      <c r="AA310">
        <f>100*(Q310/$T$6)</f>
        <v>3.8865069242191449E-3</v>
      </c>
    </row>
    <row r="311" spans="1:27" x14ac:dyDescent="0.3">
      <c r="A311">
        <v>7416</v>
      </c>
      <c r="B311">
        <v>7106427.6216884702</v>
      </c>
      <c r="C311">
        <v>71950518.410222903</v>
      </c>
      <c r="D311">
        <v>56998694.8028327</v>
      </c>
      <c r="E311">
        <v>35078835.003934801</v>
      </c>
      <c r="F311">
        <v>54514981.158266202</v>
      </c>
      <c r="G311">
        <v>28620712.671358999</v>
      </c>
      <c r="H311">
        <v>30325801.232395001</v>
      </c>
      <c r="J311">
        <f t="shared" si="52"/>
        <v>309</v>
      </c>
      <c r="K311">
        <f t="shared" si="53"/>
        <v>4.7502858433746457E-5</v>
      </c>
      <c r="L311">
        <f t="shared" si="54"/>
        <v>4.809526631699392E-4</v>
      </c>
      <c r="M311">
        <f t="shared" si="55"/>
        <v>3.8100731820075334E-4</v>
      </c>
      <c r="N311">
        <f t="shared" si="56"/>
        <v>2.3448419120277274E-4</v>
      </c>
      <c r="O311">
        <f t="shared" si="57"/>
        <v>3.6440495426648531E-4</v>
      </c>
      <c r="P311">
        <f t="shared" si="58"/>
        <v>1.9131492427379009E-4</v>
      </c>
      <c r="Q311">
        <f t="shared" si="59"/>
        <v>2.027125750828543E-4</v>
      </c>
      <c r="V311">
        <f t="shared" si="60"/>
        <v>309</v>
      </c>
      <c r="W311">
        <f t="shared" si="49"/>
        <v>0.12427717394572071</v>
      </c>
      <c r="X311">
        <f t="shared" si="50"/>
        <v>5.2698107634958968E-2</v>
      </c>
      <c r="Y311">
        <f t="shared" si="51"/>
        <v>2.3448419120277276E-2</v>
      </c>
      <c r="Z311">
        <f>100*(P311/$T$5)</f>
        <v>1.2553472721377301E-2</v>
      </c>
      <c r="AA311">
        <f>100*(Q311/$T$6)</f>
        <v>3.8953223497858245E-3</v>
      </c>
    </row>
    <row r="312" spans="1:27" x14ac:dyDescent="0.3">
      <c r="A312">
        <v>7440</v>
      </c>
      <c r="B312">
        <v>7152625.950836</v>
      </c>
      <c r="C312">
        <v>70971726.528129607</v>
      </c>
      <c r="D312">
        <v>57196849.779795803</v>
      </c>
      <c r="E312">
        <v>35124084.502767198</v>
      </c>
      <c r="F312">
        <v>53132315.6444171</v>
      </c>
      <c r="G312">
        <v>28823150.7444501</v>
      </c>
      <c r="H312">
        <v>30365521.701756801</v>
      </c>
      <c r="J312">
        <f t="shared" si="52"/>
        <v>310</v>
      </c>
      <c r="K312">
        <f t="shared" si="53"/>
        <v>4.7811670794358292E-5</v>
      </c>
      <c r="L312">
        <f t="shared" si="54"/>
        <v>4.7440993668535836E-4</v>
      </c>
      <c r="M312">
        <f t="shared" si="55"/>
        <v>3.8233188355478481E-4</v>
      </c>
      <c r="N312">
        <f t="shared" si="56"/>
        <v>2.3478666111475399E-4</v>
      </c>
      <c r="O312">
        <f t="shared" si="57"/>
        <v>3.5516253773006085E-4</v>
      </c>
      <c r="P312">
        <f t="shared" si="58"/>
        <v>1.9266811994953276E-4</v>
      </c>
      <c r="Q312">
        <f t="shared" si="59"/>
        <v>2.0297808624168985E-4</v>
      </c>
      <c r="V312">
        <f t="shared" si="60"/>
        <v>310</v>
      </c>
      <c r="W312">
        <f t="shared" si="49"/>
        <v>0.12258654694712103</v>
      </c>
      <c r="X312">
        <f t="shared" si="50"/>
        <v>5.2881311694990989E-2</v>
      </c>
      <c r="Y312">
        <f t="shared" si="51"/>
        <v>2.3478666111475401E-2</v>
      </c>
      <c r="Z312">
        <f>100*(P312/$T$5)</f>
        <v>1.2642265088552018E-2</v>
      </c>
      <c r="AA312">
        <f>100*(Q312/$T$6)</f>
        <v>3.9004244089486904E-3</v>
      </c>
    </row>
    <row r="313" spans="1:27" x14ac:dyDescent="0.3">
      <c r="A313">
        <v>7464</v>
      </c>
      <c r="B313">
        <v>7198974.6808524504</v>
      </c>
      <c r="C313">
        <v>69994804.742246807</v>
      </c>
      <c r="D313">
        <v>57392742.9291756</v>
      </c>
      <c r="E313">
        <v>35178938.273609303</v>
      </c>
      <c r="F313">
        <v>51224072.656339303</v>
      </c>
      <c r="G313">
        <v>29026425.536164802</v>
      </c>
      <c r="H313">
        <v>30488216.776469</v>
      </c>
      <c r="J313">
        <f t="shared" si="52"/>
        <v>311</v>
      </c>
      <c r="K313">
        <f t="shared" si="53"/>
        <v>4.8121488508371994E-5</v>
      </c>
      <c r="L313">
        <f t="shared" si="54"/>
        <v>4.6787971084389577E-4</v>
      </c>
      <c r="M313">
        <f t="shared" si="55"/>
        <v>3.8364132974047862E-4</v>
      </c>
      <c r="N313">
        <f t="shared" si="56"/>
        <v>2.3515333070594453E-4</v>
      </c>
      <c r="O313">
        <f t="shared" si="57"/>
        <v>3.4240690278301671E-4</v>
      </c>
      <c r="P313">
        <f t="shared" si="58"/>
        <v>1.9402690866420321E-4</v>
      </c>
      <c r="Q313">
        <f t="shared" si="59"/>
        <v>2.0379824048441845E-4</v>
      </c>
      <c r="V313">
        <f t="shared" si="60"/>
        <v>311</v>
      </c>
      <c r="W313">
        <f t="shared" si="49"/>
        <v>0.12089915008886196</v>
      </c>
      <c r="X313">
        <f t="shared" si="50"/>
        <v>5.306242458374532E-2</v>
      </c>
      <c r="Y313">
        <f t="shared" si="51"/>
        <v>2.3515333070594453E-2</v>
      </c>
      <c r="Z313">
        <f>100*(P313/$T$5)</f>
        <v>1.2731424453031706E-2</v>
      </c>
      <c r="AA313">
        <f>100*(Q313/$T$6)</f>
        <v>3.9161844827905164E-3</v>
      </c>
    </row>
    <row r="314" spans="1:27" x14ac:dyDescent="0.3">
      <c r="A314">
        <v>7488</v>
      </c>
      <c r="B314">
        <v>7245473.8128415504</v>
      </c>
      <c r="C314">
        <v>69023964.438645303</v>
      </c>
      <c r="D314">
        <v>57586297.920523196</v>
      </c>
      <c r="E314">
        <v>35242709.3817546</v>
      </c>
      <c r="F314">
        <v>48777325.820291601</v>
      </c>
      <c r="G314">
        <v>29230538.088116001</v>
      </c>
      <c r="H314">
        <v>30575716.766536299</v>
      </c>
      <c r="J314">
        <f t="shared" si="52"/>
        <v>312</v>
      </c>
      <c r="K314">
        <f t="shared" si="53"/>
        <v>4.8432311583165444E-5</v>
      </c>
      <c r="L314">
        <f t="shared" si="54"/>
        <v>4.613901366219606E-4</v>
      </c>
      <c r="M314">
        <f t="shared" si="55"/>
        <v>3.849351465275615E-4</v>
      </c>
      <c r="N314">
        <f t="shared" si="56"/>
        <v>2.3557960816680883E-4</v>
      </c>
      <c r="O314">
        <f t="shared" si="57"/>
        <v>3.2605164318376737E-4</v>
      </c>
      <c r="P314">
        <f t="shared" si="58"/>
        <v>1.9539129738045454E-4</v>
      </c>
      <c r="Q314">
        <f t="shared" si="59"/>
        <v>2.0438313346615174E-4</v>
      </c>
      <c r="V314">
        <f t="shared" si="60"/>
        <v>312</v>
      </c>
      <c r="W314">
        <f t="shared" si="49"/>
        <v>0.11922225752505441</v>
      </c>
      <c r="X314">
        <f t="shared" si="50"/>
        <v>5.3241375729953182E-2</v>
      </c>
      <c r="Y314">
        <f t="shared" si="51"/>
        <v>2.3557960816680882E-2</v>
      </c>
      <c r="Z314">
        <f>100*(P314/$T$5)</f>
        <v>1.2820951271683367E-2</v>
      </c>
      <c r="AA314">
        <f>100*(Q314/$T$6)</f>
        <v>3.9274237791343536E-3</v>
      </c>
    </row>
    <row r="315" spans="1:27" x14ac:dyDescent="0.3">
      <c r="A315">
        <v>7512</v>
      </c>
      <c r="B315">
        <v>7292123.3483340601</v>
      </c>
      <c r="C315">
        <v>68062911.162873</v>
      </c>
      <c r="D315">
        <v>57777440.850597203</v>
      </c>
      <c r="E315">
        <v>35314318.812613599</v>
      </c>
      <c r="F315">
        <v>45779979.809153698</v>
      </c>
      <c r="G315">
        <v>29435489.547788002</v>
      </c>
      <c r="H315">
        <v>30755652.285078201</v>
      </c>
      <c r="J315">
        <f t="shared" si="52"/>
        <v>313</v>
      </c>
      <c r="K315">
        <f t="shared" si="53"/>
        <v>4.8744140028970989E-5</v>
      </c>
      <c r="L315">
        <f t="shared" si="54"/>
        <v>4.5496598370904412E-4</v>
      </c>
      <c r="M315">
        <f t="shared" si="55"/>
        <v>3.8621283991040911E-4</v>
      </c>
      <c r="N315">
        <f t="shared" si="56"/>
        <v>2.360582808329786E-4</v>
      </c>
      <c r="O315">
        <f t="shared" si="57"/>
        <v>3.0601590781519853E-4</v>
      </c>
      <c r="P315">
        <f t="shared" si="58"/>
        <v>1.9676129376863637E-4</v>
      </c>
      <c r="Q315">
        <f t="shared" si="59"/>
        <v>2.0558591099651205E-4</v>
      </c>
      <c r="V315">
        <f t="shared" si="60"/>
        <v>313</v>
      </c>
      <c r="W315">
        <f t="shared" si="49"/>
        <v>0.11756226969225946</v>
      </c>
      <c r="X315">
        <f t="shared" si="50"/>
        <v>5.3418096806418965E-2</v>
      </c>
      <c r="Y315">
        <f t="shared" si="51"/>
        <v>2.3605828083297861E-2</v>
      </c>
      <c r="Z315">
        <f>100*(P315/$T$5)</f>
        <v>1.2910846047810787E-2</v>
      </c>
      <c r="AA315">
        <f>100*(Q315/$T$6)</f>
        <v>3.9505363373657197E-3</v>
      </c>
    </row>
    <row r="316" spans="1:27" x14ac:dyDescent="0.3">
      <c r="A316">
        <v>7536</v>
      </c>
      <c r="B316">
        <v>7338923.2892176202</v>
      </c>
      <c r="C316">
        <v>67114921.919689</v>
      </c>
      <c r="D316">
        <v>57966100.370690301</v>
      </c>
      <c r="E316">
        <v>35392187.058655098</v>
      </c>
      <c r="F316">
        <v>42224363.341850497</v>
      </c>
      <c r="G316">
        <v>29641281.055094901</v>
      </c>
      <c r="H316">
        <v>30832364.588170201</v>
      </c>
      <c r="J316">
        <f t="shared" si="52"/>
        <v>314</v>
      </c>
      <c r="K316">
        <f t="shared" si="53"/>
        <v>4.9056973858406554E-5</v>
      </c>
      <c r="L316">
        <f t="shared" si="54"/>
        <v>4.4862915721717247E-4</v>
      </c>
      <c r="M316">
        <f t="shared" si="55"/>
        <v>3.8747393295915979E-4</v>
      </c>
      <c r="N316">
        <f t="shared" si="56"/>
        <v>2.365787904990314E-4</v>
      </c>
      <c r="O316">
        <f t="shared" si="57"/>
        <v>2.8224841806049798E-4</v>
      </c>
      <c r="P316">
        <f t="shared" si="58"/>
        <v>1.9813690544849533E-4</v>
      </c>
      <c r="Q316">
        <f t="shared" si="59"/>
        <v>2.0609869377119118E-4</v>
      </c>
      <c r="V316">
        <f t="shared" si="60"/>
        <v>314</v>
      </c>
      <c r="W316">
        <f t="shared" si="49"/>
        <v>0.11592484682614275</v>
      </c>
      <c r="X316">
        <f t="shared" si="50"/>
        <v>5.3592521847739952E-2</v>
      </c>
      <c r="Y316">
        <f t="shared" si="51"/>
        <v>2.365787904990314E-2</v>
      </c>
      <c r="Z316">
        <f>100*(P316/$T$5)</f>
        <v>1.3001109281397331E-2</v>
      </c>
      <c r="AA316">
        <f>100*(Q316/$T$6)</f>
        <v>3.9603899648576329E-3</v>
      </c>
    </row>
    <row r="317" spans="1:27" x14ac:dyDescent="0.3">
      <c r="A317">
        <v>7560</v>
      </c>
      <c r="B317">
        <v>7385873.6376769599</v>
      </c>
      <c r="C317">
        <v>66182916.034056596</v>
      </c>
      <c r="D317">
        <v>58152207.811116397</v>
      </c>
      <c r="E317">
        <v>35474112.394744001</v>
      </c>
      <c r="F317">
        <v>38114505.628363699</v>
      </c>
      <c r="G317">
        <v>29847913.6656259</v>
      </c>
      <c r="H317">
        <v>30838521.3467158</v>
      </c>
      <c r="J317">
        <f t="shared" si="52"/>
        <v>315</v>
      </c>
      <c r="K317">
        <f t="shared" si="53"/>
        <v>4.9370813086075936E-5</v>
      </c>
      <c r="L317">
        <f t="shared" si="54"/>
        <v>4.423991713506457E-4</v>
      </c>
      <c r="M317">
        <f t="shared" si="55"/>
        <v>3.8871796665184755E-4</v>
      </c>
      <c r="N317">
        <f t="shared" si="56"/>
        <v>2.3712641975096258E-4</v>
      </c>
      <c r="O317">
        <f t="shared" si="57"/>
        <v>2.5477610714146856E-4</v>
      </c>
      <c r="P317">
        <f t="shared" si="58"/>
        <v>1.9951813947610895E-4</v>
      </c>
      <c r="Q317">
        <f t="shared" si="59"/>
        <v>2.0613984857430348E-4</v>
      </c>
      <c r="V317">
        <f t="shared" si="60"/>
        <v>315</v>
      </c>
      <c r="W317">
        <f t="shared" si="49"/>
        <v>0.11431503135675598</v>
      </c>
      <c r="X317">
        <f t="shared" si="50"/>
        <v>5.3764587365400768E-2</v>
      </c>
      <c r="Y317">
        <f t="shared" si="51"/>
        <v>2.3712641975096257E-2</v>
      </c>
      <c r="Z317">
        <f>100*(P317/$T$5)</f>
        <v>1.3091741435440219E-2</v>
      </c>
      <c r="AA317">
        <f>100*(Q317/$T$6)</f>
        <v>3.9611807950481071E-3</v>
      </c>
    </row>
    <row r="318" spans="1:27" x14ac:dyDescent="0.3">
      <c r="A318">
        <v>7584</v>
      </c>
      <c r="B318">
        <v>7432974.3961276999</v>
      </c>
      <c r="C318">
        <v>65269519.138038002</v>
      </c>
      <c r="D318">
        <v>58335697.309517696</v>
      </c>
      <c r="E318">
        <v>35557181.423479497</v>
      </c>
      <c r="F318">
        <v>33478897.904993601</v>
      </c>
      <c r="G318">
        <v>30055388.397887699</v>
      </c>
      <c r="H318">
        <v>30887232.730806801</v>
      </c>
      <c r="J318">
        <f t="shared" si="52"/>
        <v>316</v>
      </c>
      <c r="K318">
        <f t="shared" si="53"/>
        <v>4.9685657728126333E-5</v>
      </c>
      <c r="L318">
        <f t="shared" si="54"/>
        <v>4.362935771259225E-4</v>
      </c>
      <c r="M318">
        <f t="shared" si="55"/>
        <v>3.8994450073207015E-4</v>
      </c>
      <c r="N318">
        <f t="shared" si="56"/>
        <v>2.376816940072159E-4</v>
      </c>
      <c r="O318">
        <f t="shared" si="57"/>
        <v>2.2378942449862032E-4</v>
      </c>
      <c r="P318">
        <f t="shared" si="58"/>
        <v>2.0090500265967714E-4</v>
      </c>
      <c r="Q318">
        <f t="shared" si="59"/>
        <v>2.0646545943052674E-4</v>
      </c>
      <c r="V318">
        <f t="shared" si="60"/>
        <v>316</v>
      </c>
      <c r="W318">
        <f t="shared" si="49"/>
        <v>0.11273735843047093</v>
      </c>
      <c r="X318">
        <f t="shared" si="50"/>
        <v>5.3934232466399744E-2</v>
      </c>
      <c r="Y318">
        <f t="shared" si="51"/>
        <v>2.376816940072159E-2</v>
      </c>
      <c r="Z318">
        <f>100*(P318/$T$5)</f>
        <v>1.3182742956671729E-2</v>
      </c>
      <c r="AA318">
        <f>100*(Q318/$T$6)</f>
        <v>3.9674377292568553E-3</v>
      </c>
    </row>
    <row r="319" spans="1:27" x14ac:dyDescent="0.3">
      <c r="A319">
        <v>7608</v>
      </c>
      <c r="B319">
        <v>7480225.5671638502</v>
      </c>
      <c r="C319">
        <v>64377120.2780331</v>
      </c>
      <c r="D319">
        <v>58516505.932548501</v>
      </c>
      <c r="E319">
        <v>35637791.395655103</v>
      </c>
      <c r="F319">
        <v>28391776.076540899</v>
      </c>
      <c r="G319">
        <v>30263706.292753302</v>
      </c>
      <c r="H319">
        <v>30949741.0991132</v>
      </c>
      <c r="J319">
        <f t="shared" si="52"/>
        <v>317</v>
      </c>
      <c r="K319">
        <f t="shared" si="53"/>
        <v>5.0001507801897392E-5</v>
      </c>
      <c r="L319">
        <f t="shared" si="54"/>
        <v>4.3032834410449935E-4</v>
      </c>
      <c r="M319">
        <f t="shared" si="55"/>
        <v>3.9115311452238305E-4</v>
      </c>
      <c r="N319">
        <f t="shared" si="56"/>
        <v>2.3822053071961968E-4</v>
      </c>
      <c r="O319">
        <f t="shared" si="57"/>
        <v>1.8978459944211831E-4</v>
      </c>
      <c r="P319">
        <f t="shared" si="58"/>
        <v>2.022975019569071E-4</v>
      </c>
      <c r="Q319">
        <f t="shared" si="59"/>
        <v>2.0688329611706684E-4</v>
      </c>
      <c r="V319">
        <f t="shared" si="60"/>
        <v>317</v>
      </c>
      <c r="W319">
        <f t="shared" si="49"/>
        <v>0.11119595454896623</v>
      </c>
      <c r="X319">
        <f t="shared" si="50"/>
        <v>5.410139896575146E-2</v>
      </c>
      <c r="Y319">
        <f t="shared" si="51"/>
        <v>2.3822053071961967E-2</v>
      </c>
      <c r="Z319">
        <f>100*(P319/$T$5)</f>
        <v>1.3274114301634323E-2</v>
      </c>
      <c r="AA319">
        <f>100*(Q319/$T$6)</f>
        <v>3.9754668738867568E-3</v>
      </c>
    </row>
    <row r="320" spans="1:27" x14ac:dyDescent="0.3">
      <c r="A320">
        <v>7632</v>
      </c>
      <c r="B320">
        <v>7527627.1535076303</v>
      </c>
      <c r="C320">
        <v>63507922.405761003</v>
      </c>
      <c r="D320">
        <v>58694573.800926499</v>
      </c>
      <c r="E320">
        <v>35711879.214706399</v>
      </c>
      <c r="F320">
        <v>23011180.882483698</v>
      </c>
      <c r="G320">
        <v>30472868.3652017</v>
      </c>
      <c r="H320">
        <v>31114989.227966201</v>
      </c>
      <c r="J320">
        <f t="shared" si="52"/>
        <v>318</v>
      </c>
      <c r="K320">
        <f t="shared" si="53"/>
        <v>5.0318363325585765E-5</v>
      </c>
      <c r="L320">
        <f t="shared" si="54"/>
        <v>4.2451819789947196E-4</v>
      </c>
      <c r="M320">
        <f t="shared" si="55"/>
        <v>3.9234340776020388E-4</v>
      </c>
      <c r="N320">
        <f t="shared" si="56"/>
        <v>2.3871577015178075E-4</v>
      </c>
      <c r="O320">
        <f t="shared" si="57"/>
        <v>1.5381805402729746E-4</v>
      </c>
      <c r="P320">
        <f t="shared" si="58"/>
        <v>2.0369564415241779E-4</v>
      </c>
      <c r="Q320">
        <f t="shared" si="59"/>
        <v>2.0798789590886497E-4</v>
      </c>
      <c r="V320">
        <f t="shared" si="60"/>
        <v>318</v>
      </c>
      <c r="W320">
        <f t="shared" si="49"/>
        <v>0.10969462478022531</v>
      </c>
      <c r="X320">
        <f t="shared" si="50"/>
        <v>5.4266031502102893E-2</v>
      </c>
      <c r="Y320">
        <f t="shared" si="51"/>
        <v>2.3871577015178076E-2</v>
      </c>
      <c r="Z320">
        <f>100*(P320/$T$5)</f>
        <v>1.3365855915512979E-2</v>
      </c>
      <c r="AA320">
        <f>100*(Q320/$T$6)</f>
        <v>3.9966928499013251E-3</v>
      </c>
    </row>
    <row r="321" spans="1:27" x14ac:dyDescent="0.3">
      <c r="A321">
        <v>7656</v>
      </c>
      <c r="B321">
        <v>7575179.1579765799</v>
      </c>
      <c r="C321">
        <v>62663986.669111602</v>
      </c>
      <c r="D321">
        <v>58869844.211439803</v>
      </c>
      <c r="E321">
        <v>35775411.473476604</v>
      </c>
      <c r="F321">
        <v>17663653.452644799</v>
      </c>
      <c r="G321">
        <v>30682875.511183701</v>
      </c>
      <c r="H321">
        <v>31260468.845699199</v>
      </c>
      <c r="J321">
        <f t="shared" si="52"/>
        <v>319</v>
      </c>
      <c r="K321">
        <f t="shared" si="53"/>
        <v>5.063622431802527E-5</v>
      </c>
      <c r="L321">
        <f t="shared" si="54"/>
        <v>4.1887691623737703E-4</v>
      </c>
      <c r="M321">
        <f t="shared" si="55"/>
        <v>3.9351500141336768E-4</v>
      </c>
      <c r="N321">
        <f t="shared" si="56"/>
        <v>2.3914045102591311E-4</v>
      </c>
      <c r="O321">
        <f t="shared" si="57"/>
        <v>1.1807254981714437E-4</v>
      </c>
      <c r="P321">
        <f t="shared" si="58"/>
        <v>2.0509943523518517E-4</v>
      </c>
      <c r="Q321">
        <f t="shared" si="59"/>
        <v>2.0896035324665239E-4</v>
      </c>
      <c r="V321">
        <f t="shared" si="60"/>
        <v>319</v>
      </c>
      <c r="W321">
        <f t="shared" si="49"/>
        <v>0.10823692926030413</v>
      </c>
      <c r="X321">
        <f t="shared" si="50"/>
        <v>5.4428077650534944E-2</v>
      </c>
      <c r="Y321">
        <f t="shared" si="51"/>
        <v>2.3914045102591312E-2</v>
      </c>
      <c r="Z321">
        <f>100*(P321/$T$5)</f>
        <v>1.3457968191285115E-2</v>
      </c>
      <c r="AA321">
        <f>100*(Q321/$T$6)</f>
        <v>4.0153795781447425E-3</v>
      </c>
    </row>
    <row r="322" spans="1:27" x14ac:dyDescent="0.3">
      <c r="A322">
        <v>7680</v>
      </c>
      <c r="B322">
        <v>7622881.5834461004</v>
      </c>
      <c r="C322">
        <v>61847270.990176499</v>
      </c>
      <c r="D322">
        <v>59042263.758022897</v>
      </c>
      <c r="E322">
        <v>35825071.178735197</v>
      </c>
      <c r="F322">
        <v>13077561.621887499</v>
      </c>
      <c r="G322">
        <v>30893728.5292878</v>
      </c>
      <c r="H322">
        <v>31526426.820801102</v>
      </c>
      <c r="J322">
        <f t="shared" si="52"/>
        <v>320</v>
      </c>
      <c r="K322">
        <f t="shared" si="53"/>
        <v>5.0955090798436501E-5</v>
      </c>
      <c r="L322">
        <f t="shared" si="54"/>
        <v>4.1341758683273059E-4</v>
      </c>
      <c r="M322">
        <f t="shared" si="55"/>
        <v>3.9466753848945785E-4</v>
      </c>
      <c r="N322">
        <f t="shared" si="56"/>
        <v>2.3947240092737432E-4</v>
      </c>
      <c r="O322">
        <f t="shared" si="57"/>
        <v>8.7416855761280081E-5</v>
      </c>
      <c r="P322">
        <f t="shared" si="58"/>
        <v>2.0650888054336765E-4</v>
      </c>
      <c r="Q322">
        <f t="shared" si="59"/>
        <v>2.1073814719786832E-4</v>
      </c>
      <c r="V322">
        <f t="shared" si="60"/>
        <v>320</v>
      </c>
      <c r="W322">
        <f t="shared" ref="W322:W367" si="61">(L322/$T$2)*100</f>
        <v>0.10682624982757898</v>
      </c>
      <c r="X322">
        <f t="shared" ref="X322:X367" si="62">100*(M322/$T$3)</f>
        <v>5.4587488034503161E-2</v>
      </c>
      <c r="Y322">
        <f t="shared" ref="Y322:Y367" si="63">100*(N322/$T$4)</f>
        <v>2.394724009273743E-2</v>
      </c>
      <c r="Z322">
        <f>100*(P322/$T$5)</f>
        <v>1.3550451479223598E-2</v>
      </c>
      <c r="AA322">
        <f>100*(Q322/$T$6)</f>
        <v>4.0495416448475853E-3</v>
      </c>
    </row>
    <row r="323" spans="1:27" x14ac:dyDescent="0.3">
      <c r="A323">
        <v>7704</v>
      </c>
      <c r="B323">
        <v>7670734.4328056099</v>
      </c>
      <c r="C323">
        <v>61059663.426542401</v>
      </c>
      <c r="D323">
        <v>59211782.452696703</v>
      </c>
      <c r="E323">
        <v>35858925.515328601</v>
      </c>
      <c r="F323">
        <v>10829904.177394999</v>
      </c>
      <c r="G323">
        <v>31105428.271582499</v>
      </c>
      <c r="H323">
        <v>31683311.791875198</v>
      </c>
      <c r="J323">
        <f t="shared" ref="J323:J367" si="64">A323/24</f>
        <v>321</v>
      </c>
      <c r="K323">
        <f t="shared" ref="K323:K367" si="65">B323/149600000000</f>
        <v>5.1274962786133754E-5</v>
      </c>
      <c r="L323">
        <f t="shared" ref="L323:L367" si="66">C323/149600000000</f>
        <v>4.0815283039132624E-4</v>
      </c>
      <c r="M323">
        <f t="shared" ref="M323:M367" si="67">D323/149600000000</f>
        <v>3.9580068484422931E-4</v>
      </c>
      <c r="N323">
        <f t="shared" ref="N323:N367" si="68">E323/149600000000</f>
        <v>2.3969869996877407E-4</v>
      </c>
      <c r="O323">
        <f t="shared" ref="O323:O367" si="69">F323/149600000000</f>
        <v>7.2392407602907746E-5</v>
      </c>
      <c r="P323">
        <f t="shared" ref="P323:P367" si="70">G323/149600000000</f>
        <v>2.0792398577261029E-4</v>
      </c>
      <c r="Q323">
        <f t="shared" ref="Q323:Q367" si="71">H323/149600000000</f>
        <v>2.1178684352857752E-4</v>
      </c>
      <c r="V323">
        <f t="shared" ref="V323:V367" si="72">J323</f>
        <v>321</v>
      </c>
      <c r="W323">
        <f t="shared" si="61"/>
        <v>0.10546584764633753</v>
      </c>
      <c r="X323">
        <f t="shared" si="62"/>
        <v>5.4744216437652746E-2</v>
      </c>
      <c r="Y323">
        <f t="shared" si="63"/>
        <v>2.3969869996877408E-2</v>
      </c>
      <c r="Z323">
        <f>100*(P323/$T$5)</f>
        <v>1.3643306153058419E-2</v>
      </c>
      <c r="AA323">
        <f>100*(Q323/$T$6)</f>
        <v>4.0696933806413822E-3</v>
      </c>
    </row>
    <row r="324" spans="1:27" x14ac:dyDescent="0.3">
      <c r="A324">
        <v>7728</v>
      </c>
      <c r="B324">
        <v>7718737.7089520404</v>
      </c>
      <c r="C324">
        <v>60303010.798246399</v>
      </c>
      <c r="D324">
        <v>59378353.842657</v>
      </c>
      <c r="E324">
        <v>35876795.941084303</v>
      </c>
      <c r="F324">
        <v>12363927.1967708</v>
      </c>
      <c r="G324">
        <v>31317975.7236325</v>
      </c>
      <c r="H324">
        <v>31771703.687158901</v>
      </c>
      <c r="J324">
        <f t="shared" si="64"/>
        <v>322</v>
      </c>
      <c r="K324">
        <f t="shared" si="65"/>
        <v>5.1595840300481551E-5</v>
      </c>
      <c r="L324">
        <f t="shared" si="66"/>
        <v>4.030949919668877E-4</v>
      </c>
      <c r="M324">
        <f t="shared" si="67"/>
        <v>3.9691412996428478E-4</v>
      </c>
      <c r="N324">
        <f t="shared" si="68"/>
        <v>2.398181546863924E-4</v>
      </c>
      <c r="O324">
        <f t="shared" si="69"/>
        <v>8.2646572170927806E-5</v>
      </c>
      <c r="P324">
        <f t="shared" si="70"/>
        <v>2.0934475751091243E-4</v>
      </c>
      <c r="Q324">
        <f t="shared" si="71"/>
        <v>2.1237769844357555E-4</v>
      </c>
      <c r="V324">
        <f t="shared" si="72"/>
        <v>322</v>
      </c>
      <c r="W324">
        <f t="shared" si="61"/>
        <v>0.10415891265294255</v>
      </c>
      <c r="X324">
        <f t="shared" si="62"/>
        <v>5.4898219912072582E-2</v>
      </c>
      <c r="Y324">
        <f t="shared" si="63"/>
        <v>2.3981815468639239E-2</v>
      </c>
      <c r="Z324">
        <f>100*(P324/$T$5)</f>
        <v>1.3736532645072994E-2</v>
      </c>
      <c r="AA324">
        <f>100*(Q324/$T$6)</f>
        <v>4.081047241421513E-3</v>
      </c>
    </row>
    <row r="325" spans="1:27" x14ac:dyDescent="0.3">
      <c r="A325">
        <v>7752</v>
      </c>
      <c r="B325">
        <v>7766891.4147524396</v>
      </c>
      <c r="C325">
        <v>59579143.006922998</v>
      </c>
      <c r="D325">
        <v>59541935.126409099</v>
      </c>
      <c r="E325">
        <v>35880168.439356603</v>
      </c>
      <c r="F325">
        <v>16477156.173513301</v>
      </c>
      <c r="G325">
        <v>31531371.892250702</v>
      </c>
      <c r="H325">
        <v>31850278.708909001</v>
      </c>
      <c r="J325">
        <f t="shared" si="64"/>
        <v>323</v>
      </c>
      <c r="K325">
        <f t="shared" si="65"/>
        <v>5.1917723360644649E-5</v>
      </c>
      <c r="L325">
        <f t="shared" si="66"/>
        <v>3.9825630352221256E-4</v>
      </c>
      <c r="M325">
        <f t="shared" si="67"/>
        <v>3.9800758774337635E-4</v>
      </c>
      <c r="N325">
        <f t="shared" si="68"/>
        <v>2.3984069812404147E-4</v>
      </c>
      <c r="O325">
        <f t="shared" si="69"/>
        <v>1.1014141827214773E-4</v>
      </c>
      <c r="P325">
        <f t="shared" si="70"/>
        <v>2.1077120248830683E-4</v>
      </c>
      <c r="Q325">
        <f t="shared" si="71"/>
        <v>2.1290293254618315E-4</v>
      </c>
      <c r="V325">
        <f t="shared" si="72"/>
        <v>323</v>
      </c>
      <c r="W325">
        <f t="shared" si="61"/>
        <v>0.10290860556129525</v>
      </c>
      <c r="X325">
        <f t="shared" si="62"/>
        <v>5.5049458885667542E-2</v>
      </c>
      <c r="Y325">
        <f t="shared" si="63"/>
        <v>2.3984069812404148E-2</v>
      </c>
      <c r="Z325">
        <f>100*(P325/$T$5)</f>
        <v>1.3830131396870527E-2</v>
      </c>
      <c r="AA325">
        <f>100*(Q325/$T$6)</f>
        <v>4.0911401334777706E-3</v>
      </c>
    </row>
    <row r="326" spans="1:27" x14ac:dyDescent="0.3">
      <c r="A326">
        <v>7776</v>
      </c>
      <c r="B326">
        <v>7815195.5530313198</v>
      </c>
      <c r="C326">
        <v>58889893.431759797</v>
      </c>
      <c r="D326">
        <v>59702487.268530898</v>
      </c>
      <c r="E326">
        <v>35871713.807950199</v>
      </c>
      <c r="F326">
        <v>21466714.314293299</v>
      </c>
      <c r="G326">
        <v>31745617.623849601</v>
      </c>
      <c r="H326">
        <v>31931865.658880599</v>
      </c>
      <c r="J326">
        <f t="shared" si="64"/>
        <v>324</v>
      </c>
      <c r="K326">
        <f t="shared" si="65"/>
        <v>5.2240611985503474E-5</v>
      </c>
      <c r="L326">
        <f t="shared" si="66"/>
        <v>3.9364902026577407E-4</v>
      </c>
      <c r="M326">
        <f t="shared" si="67"/>
        <v>3.990807972495381E-4</v>
      </c>
      <c r="N326">
        <f t="shared" si="68"/>
        <v>2.3978418320822324E-4</v>
      </c>
      <c r="O326">
        <f t="shared" si="69"/>
        <v>1.4349407964099798E-4</v>
      </c>
      <c r="P326">
        <f t="shared" si="70"/>
        <v>2.1220332636263101E-4</v>
      </c>
      <c r="Q326">
        <f t="shared" si="71"/>
        <v>2.1344829985882753E-4</v>
      </c>
      <c r="V326">
        <f t="shared" si="72"/>
        <v>324</v>
      </c>
      <c r="W326">
        <f t="shared" si="61"/>
        <v>0.10171809309193129</v>
      </c>
      <c r="X326">
        <f t="shared" si="62"/>
        <v>5.519789726826254E-2</v>
      </c>
      <c r="Y326">
        <f t="shared" si="63"/>
        <v>2.3978418320822325E-2</v>
      </c>
      <c r="Z326">
        <f>100*(P326/$T$5)</f>
        <v>1.3924102779700197E-2</v>
      </c>
      <c r="AA326">
        <f>100*(Q326/$T$6)</f>
        <v>4.1016199050504911E-3</v>
      </c>
    </row>
    <row r="327" spans="1:27" x14ac:dyDescent="0.3">
      <c r="A327">
        <v>7800</v>
      </c>
      <c r="B327">
        <v>7863650.1265505301</v>
      </c>
      <c r="C327">
        <v>58237115.713061303</v>
      </c>
      <c r="D327">
        <v>59859975.112149</v>
      </c>
      <c r="E327">
        <v>35854657.044017203</v>
      </c>
      <c r="F327">
        <v>26559643.682996701</v>
      </c>
      <c r="G327">
        <v>31960713.587835401</v>
      </c>
      <c r="H327">
        <v>32076300.286674999</v>
      </c>
      <c r="J327">
        <f t="shared" si="64"/>
        <v>325</v>
      </c>
      <c r="K327">
        <f t="shared" si="65"/>
        <v>5.2564506193519589E-5</v>
      </c>
      <c r="L327">
        <f t="shared" si="66"/>
        <v>3.8928553284131888E-4</v>
      </c>
      <c r="M327">
        <f t="shared" si="67"/>
        <v>4.0013352347693183E-4</v>
      </c>
      <c r="N327">
        <f t="shared" si="68"/>
        <v>2.3967016740653212E-4</v>
      </c>
      <c r="O327">
        <f t="shared" si="69"/>
        <v>1.7753772515372127E-4</v>
      </c>
      <c r="P327">
        <f t="shared" si="70"/>
        <v>2.136411336085254E-4</v>
      </c>
      <c r="Q327">
        <f t="shared" si="71"/>
        <v>2.1441377196975266E-4</v>
      </c>
      <c r="V327">
        <f t="shared" si="72"/>
        <v>325</v>
      </c>
      <c r="W327">
        <f t="shared" si="61"/>
        <v>0.10059057696158111</v>
      </c>
      <c r="X327">
        <f t="shared" si="62"/>
        <v>5.5343502555592228E-2</v>
      </c>
      <c r="Y327">
        <f t="shared" si="63"/>
        <v>2.3967016740653213E-2</v>
      </c>
      <c r="Z327">
        <f>100*(P327/$T$5)</f>
        <v>1.4018447087173582E-2</v>
      </c>
      <c r="AA327">
        <f>100*(Q327/$T$6)</f>
        <v>4.1201724052604277E-3</v>
      </c>
    </row>
    <row r="328" spans="1:27" x14ac:dyDescent="0.3">
      <c r="A328">
        <v>7824</v>
      </c>
      <c r="B328">
        <v>7912255.1380005302</v>
      </c>
      <c r="C328">
        <v>57622697.188289903</v>
      </c>
      <c r="D328">
        <v>60014367.4882055</v>
      </c>
      <c r="E328">
        <v>35832234.91488</v>
      </c>
      <c r="F328">
        <v>31455206.358824</v>
      </c>
      <c r="G328">
        <v>32176660.433792401</v>
      </c>
      <c r="H328">
        <v>32174748.862218499</v>
      </c>
      <c r="J328">
        <f t="shared" si="64"/>
        <v>326</v>
      </c>
      <c r="K328">
        <f t="shared" si="65"/>
        <v>5.2889406002677341E-5</v>
      </c>
      <c r="L328">
        <f t="shared" si="66"/>
        <v>3.8517845714097527E-4</v>
      </c>
      <c r="M328">
        <f t="shared" si="67"/>
        <v>4.0116555807623999E-4</v>
      </c>
      <c r="N328">
        <f t="shared" si="68"/>
        <v>2.3952028686417113E-4</v>
      </c>
      <c r="O328">
        <f t="shared" si="69"/>
        <v>2.1026207459106953E-4</v>
      </c>
      <c r="P328">
        <f t="shared" si="70"/>
        <v>2.1508462856813102E-4</v>
      </c>
      <c r="Q328">
        <f t="shared" si="71"/>
        <v>2.1507185068327873E-4</v>
      </c>
      <c r="V328">
        <f t="shared" si="72"/>
        <v>326</v>
      </c>
      <c r="W328">
        <f t="shared" si="61"/>
        <v>9.9529317090691266E-2</v>
      </c>
      <c r="X328">
        <f t="shared" si="62"/>
        <v>5.5486245930323655E-2</v>
      </c>
      <c r="Y328">
        <f t="shared" si="63"/>
        <v>2.3952028686417114E-2</v>
      </c>
      <c r="Z328">
        <f>100*(P328/$T$5)</f>
        <v>1.4113164604208072E-2</v>
      </c>
      <c r="AA328">
        <f>100*(Q328/$T$6)</f>
        <v>4.1328180377263402E-3</v>
      </c>
    </row>
    <row r="329" spans="1:27" x14ac:dyDescent="0.3">
      <c r="A329">
        <v>7848</v>
      </c>
      <c r="B329">
        <v>7961010.5899773296</v>
      </c>
      <c r="C329">
        <v>57048569.185019799</v>
      </c>
      <c r="D329">
        <v>60165637.322602302</v>
      </c>
      <c r="E329">
        <v>35807362.8641323</v>
      </c>
      <c r="F329">
        <v>36030782.1495407</v>
      </c>
      <c r="G329">
        <v>32393458.888660401</v>
      </c>
      <c r="H329">
        <v>32385136.2974727</v>
      </c>
      <c r="J329">
        <f t="shared" si="64"/>
        <v>327</v>
      </c>
      <c r="K329">
        <f t="shared" si="65"/>
        <v>5.3215311430329744E-5</v>
      </c>
      <c r="L329">
        <f t="shared" si="66"/>
        <v>3.8134070310842113E-4</v>
      </c>
      <c r="M329">
        <f t="shared" si="67"/>
        <v>4.0217672007087101E-4</v>
      </c>
      <c r="N329">
        <f t="shared" si="68"/>
        <v>2.3935402984045655E-4</v>
      </c>
      <c r="O329">
        <f t="shared" si="69"/>
        <v>2.4084747426163569E-4</v>
      </c>
      <c r="P329">
        <f t="shared" si="70"/>
        <v>2.1653381610067113E-4</v>
      </c>
      <c r="Q329">
        <f t="shared" si="71"/>
        <v>2.1647818380663569E-4</v>
      </c>
      <c r="V329">
        <f t="shared" si="72"/>
        <v>327</v>
      </c>
      <c r="W329">
        <f t="shared" si="61"/>
        <v>9.8537649382020961E-2</v>
      </c>
      <c r="X329">
        <f t="shared" si="62"/>
        <v>5.5626102361116321E-2</v>
      </c>
      <c r="Y329">
        <f t="shared" si="63"/>
        <v>2.3935402984045655E-2</v>
      </c>
      <c r="Z329">
        <f>100*(P329/$T$5)</f>
        <v>1.4208255649650336E-2</v>
      </c>
      <c r="AA329">
        <f>100*(Q329/$T$6)</f>
        <v>4.1598421177293562E-3</v>
      </c>
    </row>
    <row r="330" spans="1:27" x14ac:dyDescent="0.3">
      <c r="A330">
        <v>7872</v>
      </c>
      <c r="B330">
        <v>8009916.4849863602</v>
      </c>
      <c r="C330">
        <v>56516714.333666302</v>
      </c>
      <c r="D330">
        <v>60313761.740441903</v>
      </c>
      <c r="E330">
        <v>35782510.3277179</v>
      </c>
      <c r="F330">
        <v>40236194.231979802</v>
      </c>
      <c r="G330">
        <v>32611109.6874527</v>
      </c>
      <c r="H330">
        <v>32474300.7603378</v>
      </c>
      <c r="J330">
        <f t="shared" si="64"/>
        <v>328</v>
      </c>
      <c r="K330">
        <f t="shared" si="65"/>
        <v>5.3542222493224335E-5</v>
      </c>
      <c r="L330">
        <f t="shared" si="66"/>
        <v>3.7778552362076405E-4</v>
      </c>
      <c r="M330">
        <f t="shared" si="67"/>
        <v>4.0316685655375603E-4</v>
      </c>
      <c r="N330">
        <f t="shared" si="68"/>
        <v>2.3918790326014639E-4</v>
      </c>
      <c r="O330">
        <f t="shared" si="69"/>
        <v>2.6895851759344789E-4</v>
      </c>
      <c r="P330">
        <f t="shared" si="70"/>
        <v>2.1798870111933624E-4</v>
      </c>
      <c r="Q330">
        <f t="shared" si="71"/>
        <v>2.1707420294343448E-4</v>
      </c>
      <c r="V330">
        <f t="shared" si="72"/>
        <v>328</v>
      </c>
      <c r="W330">
        <f t="shared" si="61"/>
        <v>9.7618998351618622E-2</v>
      </c>
      <c r="X330">
        <f t="shared" si="62"/>
        <v>5.5763050698998076E-2</v>
      </c>
      <c r="Y330">
        <f t="shared" si="63"/>
        <v>2.3918790326014638E-2</v>
      </c>
      <c r="Z330">
        <f>100*(P330/$T$5)</f>
        <v>1.4303720545888205E-2</v>
      </c>
      <c r="AA330">
        <f>100*(Q330/$T$6)</f>
        <v>4.1712952141321003E-3</v>
      </c>
    </row>
    <row r="331" spans="1:27" x14ac:dyDescent="0.3">
      <c r="A331">
        <v>7896</v>
      </c>
      <c r="B331">
        <v>8058972.8254230199</v>
      </c>
      <c r="C331">
        <v>56029171.0291446</v>
      </c>
      <c r="D331">
        <v>60458722.167584598</v>
      </c>
      <c r="E331">
        <v>35759720.282244898</v>
      </c>
      <c r="F331">
        <v>44051657.516199499</v>
      </c>
      <c r="G331">
        <v>32829613.483149599</v>
      </c>
      <c r="H331">
        <v>32506491.991682298</v>
      </c>
      <c r="J331">
        <f t="shared" si="64"/>
        <v>329</v>
      </c>
      <c r="K331">
        <f t="shared" si="65"/>
        <v>5.3870139207373125E-5</v>
      </c>
      <c r="L331">
        <f t="shared" si="66"/>
        <v>3.7452654431246389E-4</v>
      </c>
      <c r="M331">
        <f t="shared" si="67"/>
        <v>4.0413584336620719E-4</v>
      </c>
      <c r="N331">
        <f t="shared" si="68"/>
        <v>2.3903556338398995E-4</v>
      </c>
      <c r="O331">
        <f t="shared" si="69"/>
        <v>2.9446295131149399E-4</v>
      </c>
      <c r="P331">
        <f t="shared" si="70"/>
        <v>2.1944928798896791E-4</v>
      </c>
      <c r="Q331">
        <f t="shared" si="71"/>
        <v>2.1728938497113837E-4</v>
      </c>
      <c r="V331">
        <f t="shared" si="72"/>
        <v>329</v>
      </c>
      <c r="W331">
        <f t="shared" si="61"/>
        <v>9.6776884835261978E-2</v>
      </c>
      <c r="X331">
        <f t="shared" si="62"/>
        <v>5.5897073771259638E-2</v>
      </c>
      <c r="Y331">
        <f t="shared" si="63"/>
        <v>2.3903556338398996E-2</v>
      </c>
      <c r="Z331">
        <f>100*(P331/$T$5)</f>
        <v>1.4399559579328602E-2</v>
      </c>
      <c r="AA331">
        <f>100*(Q331/$T$6)</f>
        <v>4.1754301493300994E-3</v>
      </c>
    </row>
    <row r="332" spans="1:27" x14ac:dyDescent="0.3">
      <c r="A332">
        <v>7920</v>
      </c>
      <c r="B332">
        <v>8108179.6135696704</v>
      </c>
      <c r="C332">
        <v>55588035.145595603</v>
      </c>
      <c r="D332">
        <v>60600504.428785697</v>
      </c>
      <c r="E332">
        <v>35740700.823609397</v>
      </c>
      <c r="F332">
        <v>47468276.048174702</v>
      </c>
      <c r="G332">
        <v>33048970.8795137</v>
      </c>
      <c r="H332">
        <v>32502971.594451901</v>
      </c>
      <c r="J332">
        <f t="shared" si="64"/>
        <v>330</v>
      </c>
      <c r="K332">
        <f t="shared" si="65"/>
        <v>5.4199061588032553E-5</v>
      </c>
      <c r="L332">
        <f t="shared" si="66"/>
        <v>3.7157777503740377E-4</v>
      </c>
      <c r="M332">
        <f t="shared" si="67"/>
        <v>4.0508358575391508E-4</v>
      </c>
      <c r="N332">
        <f t="shared" si="68"/>
        <v>2.3890842796530346E-4</v>
      </c>
      <c r="O332">
        <f t="shared" si="69"/>
        <v>3.1730131048245119E-4</v>
      </c>
      <c r="P332">
        <f t="shared" si="70"/>
        <v>2.2091558074541242E-4</v>
      </c>
      <c r="Q332">
        <f t="shared" si="71"/>
        <v>2.1726585290409025E-4</v>
      </c>
      <c r="V332">
        <f t="shared" si="72"/>
        <v>330</v>
      </c>
      <c r="W332">
        <f t="shared" si="61"/>
        <v>9.601492895023353E-2</v>
      </c>
      <c r="X332">
        <f t="shared" si="62"/>
        <v>5.6028158472187423E-2</v>
      </c>
      <c r="Y332">
        <f t="shared" si="63"/>
        <v>2.3890842796530348E-2</v>
      </c>
      <c r="Z332">
        <f>100*(P332/$T$5)</f>
        <v>1.4495773014790842E-2</v>
      </c>
      <c r="AA332">
        <f>100*(Q332/$T$6)</f>
        <v>4.1749779574191057E-3</v>
      </c>
    </row>
    <row r="333" spans="1:27" x14ac:dyDescent="0.3">
      <c r="A333">
        <v>7944</v>
      </c>
      <c r="B333">
        <v>8157536.8515878003</v>
      </c>
      <c r="C333">
        <v>55195459.100849703</v>
      </c>
      <c r="D333">
        <v>60739098.842084996</v>
      </c>
      <c r="E333">
        <v>35726934.547395803</v>
      </c>
      <c r="F333">
        <v>50478242.898063898</v>
      </c>
      <c r="G333">
        <v>33269182.508370198</v>
      </c>
      <c r="H333">
        <v>32537699.771059401</v>
      </c>
      <c r="J333">
        <f t="shared" si="64"/>
        <v>331</v>
      </c>
      <c r="K333">
        <f t="shared" si="65"/>
        <v>5.4528989649651071E-5</v>
      </c>
      <c r="L333">
        <f t="shared" si="66"/>
        <v>3.6895360361530551E-4</v>
      </c>
      <c r="M333">
        <f t="shared" si="67"/>
        <v>4.0601001899789435E-4</v>
      </c>
      <c r="N333">
        <f t="shared" si="68"/>
        <v>2.3881640740237837E-4</v>
      </c>
      <c r="O333">
        <f t="shared" si="69"/>
        <v>3.3742140974641645E-4</v>
      </c>
      <c r="P333">
        <f t="shared" si="70"/>
        <v>2.2238758361210027E-4</v>
      </c>
      <c r="Q333">
        <f t="shared" si="71"/>
        <v>2.1749799312205482E-4</v>
      </c>
      <c r="V333">
        <f t="shared" si="72"/>
        <v>331</v>
      </c>
      <c r="W333">
        <f t="shared" si="61"/>
        <v>9.5336848479407113E-2</v>
      </c>
      <c r="X333">
        <f t="shared" si="62"/>
        <v>5.6156295850331168E-2</v>
      </c>
      <c r="Y333">
        <f t="shared" si="63"/>
        <v>2.3881640740237835E-2</v>
      </c>
      <c r="Z333">
        <f>100*(P333/$T$5)</f>
        <v>1.4592361129402905E-2</v>
      </c>
      <c r="AA333">
        <f>100*(Q333/$T$6)</f>
        <v>4.1794387609925985E-3</v>
      </c>
    </row>
    <row r="334" spans="1:27" x14ac:dyDescent="0.3">
      <c r="A334">
        <v>7968</v>
      </c>
      <c r="B334">
        <v>8207044.5415122202</v>
      </c>
      <c r="C334">
        <v>54853648.371419698</v>
      </c>
      <c r="D334">
        <v>60874500.310161002</v>
      </c>
      <c r="E334">
        <v>35719772.934767999</v>
      </c>
      <c r="F334">
        <v>53070027.677436203</v>
      </c>
      <c r="G334">
        <v>33490248.993282601</v>
      </c>
      <c r="H334">
        <v>32645467.990782399</v>
      </c>
      <c r="J334">
        <f t="shared" si="64"/>
        <v>332</v>
      </c>
      <c r="K334">
        <f t="shared" si="65"/>
        <v>5.4859923405830347E-5</v>
      </c>
      <c r="L334">
        <f t="shared" si="66"/>
        <v>3.6666877253622792E-4</v>
      </c>
      <c r="M334">
        <f t="shared" si="67"/>
        <v>4.0691510902514041E-4</v>
      </c>
      <c r="N334">
        <f t="shared" si="68"/>
        <v>2.387685356602139E-4</v>
      </c>
      <c r="O334">
        <f t="shared" si="69"/>
        <v>3.5474617431441313E-4</v>
      </c>
      <c r="P334">
        <f t="shared" si="70"/>
        <v>2.2386530075723665E-4</v>
      </c>
      <c r="Q334">
        <f t="shared" si="71"/>
        <v>2.1821836892234225E-4</v>
      </c>
      <c r="V334">
        <f t="shared" si="72"/>
        <v>332</v>
      </c>
      <c r="W334">
        <f t="shared" si="61"/>
        <v>9.474645285173848E-2</v>
      </c>
      <c r="X334">
        <f t="shared" si="62"/>
        <v>5.6281481192965485E-2</v>
      </c>
      <c r="Y334">
        <f t="shared" si="63"/>
        <v>2.3876853566021389E-2</v>
      </c>
      <c r="Z334">
        <f>100*(P334/$T$5)</f>
        <v>1.468932419666907E-2</v>
      </c>
      <c r="AA334">
        <f>100*(Q334/$T$6)</f>
        <v>4.1932814935115728E-3</v>
      </c>
    </row>
    <row r="335" spans="1:27" x14ac:dyDescent="0.3">
      <c r="A335">
        <v>7992</v>
      </c>
      <c r="B335">
        <v>8256702.6852486199</v>
      </c>
      <c r="C335">
        <v>54564855.572074302</v>
      </c>
      <c r="D335">
        <v>61006708.407266498</v>
      </c>
      <c r="E335">
        <v>35720498.874393404</v>
      </c>
      <c r="F335">
        <v>55226484.873855799</v>
      </c>
      <c r="G335">
        <v>33712170.827065296</v>
      </c>
      <c r="H335">
        <v>32742158.9911502</v>
      </c>
      <c r="J335">
        <f t="shared" si="64"/>
        <v>333</v>
      </c>
      <c r="K335">
        <f t="shared" si="65"/>
        <v>5.5191862869308957E-5</v>
      </c>
      <c r="L335">
        <f t="shared" si="66"/>
        <v>3.647383393855234E-4</v>
      </c>
      <c r="M335">
        <f t="shared" si="67"/>
        <v>4.0779885298974932E-4</v>
      </c>
      <c r="N335">
        <f t="shared" si="68"/>
        <v>2.3877338819781687E-4</v>
      </c>
      <c r="O335">
        <f t="shared" si="69"/>
        <v>3.6916099514609492E-4</v>
      </c>
      <c r="P335">
        <f t="shared" si="70"/>
        <v>2.2534873547503539E-4</v>
      </c>
      <c r="Q335">
        <f t="shared" si="71"/>
        <v>2.1886469913870454E-4</v>
      </c>
      <c r="V335">
        <f t="shared" si="72"/>
        <v>333</v>
      </c>
      <c r="W335">
        <f t="shared" si="61"/>
        <v>9.4247632916155913E-2</v>
      </c>
      <c r="X335">
        <f t="shared" si="62"/>
        <v>5.6403714106466024E-2</v>
      </c>
      <c r="Y335">
        <f t="shared" si="63"/>
        <v>2.3877338819781688E-2</v>
      </c>
      <c r="Z335">
        <f>100*(P335/$T$5)</f>
        <v>1.4786662432745103E-2</v>
      </c>
      <c r="AA335">
        <f>100*(Q335/$T$6)</f>
        <v>4.2057013670004717E-3</v>
      </c>
    </row>
    <row r="336" spans="1:27" x14ac:dyDescent="0.3">
      <c r="A336">
        <v>8016</v>
      </c>
      <c r="B336">
        <v>8306511.28456375</v>
      </c>
      <c r="C336">
        <v>54331372.250101499</v>
      </c>
      <c r="D336">
        <v>61135727.462343603</v>
      </c>
      <c r="E336">
        <v>35730350.457539998</v>
      </c>
      <c r="F336">
        <v>56924827.876723103</v>
      </c>
      <c r="G336">
        <v>33934948.336894102</v>
      </c>
      <c r="H336">
        <v>32984976.454147201</v>
      </c>
      <c r="J336">
        <f t="shared" si="64"/>
        <v>334</v>
      </c>
      <c r="K336">
        <f t="shared" si="65"/>
        <v>5.5524808051896722E-5</v>
      </c>
      <c r="L336">
        <f t="shared" si="66"/>
        <v>3.631776219926571E-4</v>
      </c>
      <c r="M336">
        <f t="shared" si="67"/>
        <v>4.0866127982850005E-4</v>
      </c>
      <c r="N336">
        <f t="shared" si="68"/>
        <v>2.3883924102633688E-4</v>
      </c>
      <c r="O336">
        <f t="shared" si="69"/>
        <v>3.8051355532568921E-4</v>
      </c>
      <c r="P336">
        <f t="shared" si="70"/>
        <v>2.2683788995250069E-4</v>
      </c>
      <c r="Q336">
        <f t="shared" si="71"/>
        <v>2.2048781052237435E-4</v>
      </c>
      <c r="V336">
        <f t="shared" si="72"/>
        <v>334</v>
      </c>
      <c r="W336">
        <f t="shared" si="61"/>
        <v>9.3844346768128445E-2</v>
      </c>
      <c r="X336">
        <f t="shared" si="62"/>
        <v>5.6522998593153538E-2</v>
      </c>
      <c r="Y336">
        <f t="shared" si="63"/>
        <v>2.3883924102633687E-2</v>
      </c>
      <c r="Z336">
        <f>100*(P336/$T$5)</f>
        <v>1.4884375981135217E-2</v>
      </c>
      <c r="AA336">
        <f>100*(Q336/$T$6)</f>
        <v>4.2368910553876706E-3</v>
      </c>
    </row>
    <row r="337" spans="1:27" x14ac:dyDescent="0.3">
      <c r="A337">
        <v>8040</v>
      </c>
      <c r="B337">
        <v>8356470.34108443</v>
      </c>
      <c r="C337">
        <v>54155518.574744798</v>
      </c>
      <c r="D337">
        <v>61261566.638090603</v>
      </c>
      <c r="E337">
        <v>35750505.820193</v>
      </c>
      <c r="F337">
        <v>58137827.2279884</v>
      </c>
      <c r="G337">
        <v>34158581.810100697</v>
      </c>
      <c r="H337">
        <v>33136532.528795101</v>
      </c>
      <c r="J337">
        <f t="shared" si="64"/>
        <v>335</v>
      </c>
      <c r="K337">
        <f t="shared" si="65"/>
        <v>5.5858758964468116E-5</v>
      </c>
      <c r="L337">
        <f t="shared" si="66"/>
        <v>3.6200212951032618E-4</v>
      </c>
      <c r="M337">
        <f t="shared" si="67"/>
        <v>4.0950245078937567E-4</v>
      </c>
      <c r="N337">
        <f t="shared" si="68"/>
        <v>2.3897396938631684E-4</v>
      </c>
      <c r="O337">
        <f t="shared" si="69"/>
        <v>3.8862183975928074E-4</v>
      </c>
      <c r="P337">
        <f t="shared" si="70"/>
        <v>2.2833276611029877E-4</v>
      </c>
      <c r="Q337">
        <f t="shared" si="71"/>
        <v>2.2150088588766779E-4</v>
      </c>
      <c r="V337">
        <f t="shared" si="72"/>
        <v>335</v>
      </c>
      <c r="W337">
        <f t="shared" si="61"/>
        <v>9.3540601940652751E-2</v>
      </c>
      <c r="X337">
        <f t="shared" si="62"/>
        <v>5.6639343124394975E-2</v>
      </c>
      <c r="Y337">
        <f t="shared" si="63"/>
        <v>2.3897396938631684E-2</v>
      </c>
      <c r="Z337">
        <f>100*(P337/$T$5)</f>
        <v>1.4982464967867374E-2</v>
      </c>
      <c r="AA337">
        <f>100*(Q337/$T$6)</f>
        <v>4.2563582991481134E-3</v>
      </c>
    </row>
    <row r="338" spans="1:27" x14ac:dyDescent="0.3">
      <c r="A338">
        <v>8064</v>
      </c>
      <c r="B338">
        <v>8406579.8562967796</v>
      </c>
      <c r="C338">
        <v>54039631.157243997</v>
      </c>
      <c r="D338">
        <v>61384240.005899698</v>
      </c>
      <c r="E338">
        <v>35782034.1410788</v>
      </c>
      <c r="F338">
        <v>58835737.4721485</v>
      </c>
      <c r="G338">
        <v>34383071.647256799</v>
      </c>
      <c r="H338">
        <v>33259644.193222899</v>
      </c>
      <c r="J338">
        <f t="shared" si="64"/>
        <v>336</v>
      </c>
      <c r="K338">
        <f t="shared" si="65"/>
        <v>5.6193715616957086E-5</v>
      </c>
      <c r="L338">
        <f t="shared" si="66"/>
        <v>3.612274809976203E-4</v>
      </c>
      <c r="M338">
        <f t="shared" si="67"/>
        <v>4.1032245993248459E-4</v>
      </c>
      <c r="N338">
        <f t="shared" si="68"/>
        <v>2.3918472019437701E-4</v>
      </c>
      <c r="O338">
        <f t="shared" si="69"/>
        <v>3.9328701518815843E-4</v>
      </c>
      <c r="P338">
        <f t="shared" si="70"/>
        <v>2.2983336662604813E-4</v>
      </c>
      <c r="Q338">
        <f t="shared" si="71"/>
        <v>2.2232382482100869E-4</v>
      </c>
      <c r="V338">
        <f t="shared" si="72"/>
        <v>336</v>
      </c>
      <c r="W338">
        <f t="shared" si="61"/>
        <v>9.3340434366310149E-2</v>
      </c>
      <c r="X338">
        <f t="shared" si="62"/>
        <v>5.6752760709887225E-2</v>
      </c>
      <c r="Y338">
        <f t="shared" si="63"/>
        <v>2.3918472019437701E-2</v>
      </c>
      <c r="Z338">
        <f>100*(P338/$T$5)</f>
        <v>1.5080929568638329E-2</v>
      </c>
      <c r="AA338">
        <f>100*(Q338/$T$6)</f>
        <v>4.272171883570498E-3</v>
      </c>
    </row>
    <row r="339" spans="1:27" x14ac:dyDescent="0.3">
      <c r="A339">
        <v>8088</v>
      </c>
      <c r="B339">
        <v>8456839.8315377496</v>
      </c>
      <c r="C339">
        <v>53986049.279743403</v>
      </c>
      <c r="D339">
        <v>61503766.612557702</v>
      </c>
      <c r="E339">
        <v>35825822.414603204</v>
      </c>
      <c r="F339">
        <v>58988490.2775793</v>
      </c>
      <c r="G339">
        <v>34608418.323173098</v>
      </c>
      <c r="H339">
        <v>33322409.620191701</v>
      </c>
      <c r="J339">
        <f t="shared" si="64"/>
        <v>337</v>
      </c>
      <c r="K339">
        <f t="shared" si="65"/>
        <v>5.6529678018300467E-5</v>
      </c>
      <c r="L339">
        <f t="shared" si="66"/>
        <v>3.6086931336726876E-4</v>
      </c>
      <c r="M339">
        <f t="shared" si="67"/>
        <v>4.1112143457592047E-4</v>
      </c>
      <c r="N339">
        <f t="shared" si="68"/>
        <v>2.3947742255750804E-4</v>
      </c>
      <c r="O339">
        <f t="shared" si="69"/>
        <v>3.9430809009077073E-4</v>
      </c>
      <c r="P339">
        <f t="shared" si="70"/>
        <v>2.3133969467361697E-4</v>
      </c>
      <c r="Q339">
        <f t="shared" si="71"/>
        <v>2.2274337981411564E-4</v>
      </c>
      <c r="V339">
        <f t="shared" si="72"/>
        <v>337</v>
      </c>
      <c r="W339">
        <f t="shared" si="61"/>
        <v>9.3247884591025523E-2</v>
      </c>
      <c r="X339">
        <f t="shared" si="62"/>
        <v>5.68632689593251E-2</v>
      </c>
      <c r="Y339">
        <f t="shared" si="63"/>
        <v>2.3947742255750804E-2</v>
      </c>
      <c r="Z339">
        <f>100*(P339/$T$5)</f>
        <v>1.517976999170715E-2</v>
      </c>
      <c r="AA339">
        <f>100*(Q339/$T$6)</f>
        <v>4.2802340471582564E-3</v>
      </c>
    </row>
    <row r="340" spans="1:27" x14ac:dyDescent="0.3">
      <c r="A340">
        <v>8112</v>
      </c>
      <c r="B340">
        <v>8507250.2679958399</v>
      </c>
      <c r="C340">
        <v>53997099.862597503</v>
      </c>
      <c r="D340">
        <v>61620170.5499015</v>
      </c>
      <c r="E340">
        <v>35882490.181174502</v>
      </c>
      <c r="F340">
        <v>58567726.054935902</v>
      </c>
      <c r="G340">
        <v>34834622.219453298</v>
      </c>
      <c r="H340">
        <v>33435222.272023499</v>
      </c>
      <c r="J340">
        <f t="shared" si="64"/>
        <v>338</v>
      </c>
      <c r="K340">
        <f t="shared" si="65"/>
        <v>5.6866646176442778E-5</v>
      </c>
      <c r="L340">
        <f t="shared" si="66"/>
        <v>3.6094318089971591E-4</v>
      </c>
      <c r="M340">
        <f t="shared" si="67"/>
        <v>4.1189953576137366E-4</v>
      </c>
      <c r="N340">
        <f t="shared" si="68"/>
        <v>2.3985621778859962E-4</v>
      </c>
      <c r="O340">
        <f t="shared" si="69"/>
        <v>3.9149549501962501E-4</v>
      </c>
      <c r="P340">
        <f t="shared" si="70"/>
        <v>2.3285175280383219E-4</v>
      </c>
      <c r="Q340">
        <f t="shared" si="71"/>
        <v>2.2349747508037098E-4</v>
      </c>
      <c r="V340">
        <f t="shared" si="72"/>
        <v>338</v>
      </c>
      <c r="W340">
        <f t="shared" si="61"/>
        <v>9.3266971808712115E-2</v>
      </c>
      <c r="X340">
        <f t="shared" si="62"/>
        <v>5.6970890146801331E-2</v>
      </c>
      <c r="Y340">
        <f t="shared" si="63"/>
        <v>2.3985621778859961E-2</v>
      </c>
      <c r="Z340">
        <f>100*(P340/$T$5)</f>
        <v>1.5278986404450929E-2</v>
      </c>
      <c r="AA340">
        <f>100*(Q340/$T$6)</f>
        <v>4.2947247325205804E-3</v>
      </c>
    </row>
    <row r="341" spans="1:27" x14ac:dyDescent="0.3">
      <c r="A341">
        <v>8136</v>
      </c>
      <c r="B341">
        <v>8557811.1667040791</v>
      </c>
      <c r="C341">
        <v>54075081.531344697</v>
      </c>
      <c r="D341">
        <v>61733481.0098776</v>
      </c>
      <c r="E341">
        <v>35952303.420576498</v>
      </c>
      <c r="F341">
        <v>57548360.123978101</v>
      </c>
      <c r="G341">
        <v>35061683.527353004</v>
      </c>
      <c r="H341">
        <v>33588812.7441549</v>
      </c>
      <c r="J341">
        <f t="shared" si="64"/>
        <v>339</v>
      </c>
      <c r="K341">
        <f t="shared" si="65"/>
        <v>5.7204620098289296E-5</v>
      </c>
      <c r="L341">
        <f t="shared" si="66"/>
        <v>3.6146444873893515E-4</v>
      </c>
      <c r="M341">
        <f t="shared" si="67"/>
        <v>4.1265695862217645E-4</v>
      </c>
      <c r="N341">
        <f t="shared" si="68"/>
        <v>2.4032288382738301E-4</v>
      </c>
      <c r="O341">
        <f t="shared" si="69"/>
        <v>3.8468155163086967E-4</v>
      </c>
      <c r="P341">
        <f t="shared" si="70"/>
        <v>2.3436954229514041E-4</v>
      </c>
      <c r="Q341">
        <f t="shared" si="71"/>
        <v>2.2452414935932421E-4</v>
      </c>
      <c r="V341">
        <f t="shared" si="72"/>
        <v>339</v>
      </c>
      <c r="W341">
        <f t="shared" si="61"/>
        <v>9.3401666340810111E-2</v>
      </c>
      <c r="X341">
        <f t="shared" si="62"/>
        <v>5.7075651261711817E-2</v>
      </c>
      <c r="Y341">
        <f t="shared" si="63"/>
        <v>2.4032288382738302E-2</v>
      </c>
      <c r="Z341">
        <f>100*(P341/$T$5)</f>
        <v>1.5378578890757244E-2</v>
      </c>
      <c r="AA341">
        <f>100*(Q341/$T$6)</f>
        <v>4.3144532928386667E-3</v>
      </c>
    </row>
    <row r="342" spans="1:27" x14ac:dyDescent="0.3">
      <c r="A342">
        <v>8160</v>
      </c>
      <c r="B342">
        <v>8608522.5285385791</v>
      </c>
      <c r="C342">
        <v>54222248.173653699</v>
      </c>
      <c r="D342">
        <v>61843732.339451402</v>
      </c>
      <c r="E342">
        <v>36035093.881563298</v>
      </c>
      <c r="F342">
        <v>55909632.770976603</v>
      </c>
      <c r="G342">
        <v>35289602.328255102</v>
      </c>
      <c r="H342">
        <v>33718187.172277004</v>
      </c>
      <c r="J342">
        <f t="shared" si="64"/>
        <v>340</v>
      </c>
      <c r="K342">
        <f t="shared" si="65"/>
        <v>5.7543599789696386E-5</v>
      </c>
      <c r="L342">
        <f t="shared" si="66"/>
        <v>3.6244818297896859E-4</v>
      </c>
      <c r="M342">
        <f t="shared" si="67"/>
        <v>4.1339393275034361E-4</v>
      </c>
      <c r="N342">
        <f t="shared" si="68"/>
        <v>2.4087629599975466E-4</v>
      </c>
      <c r="O342">
        <f t="shared" si="69"/>
        <v>3.7372749178460297E-4</v>
      </c>
      <c r="P342">
        <f t="shared" si="70"/>
        <v>2.3589306369154481E-4</v>
      </c>
      <c r="Q342">
        <f t="shared" si="71"/>
        <v>2.2538895168634361E-4</v>
      </c>
      <c r="V342">
        <f t="shared" si="72"/>
        <v>340</v>
      </c>
      <c r="W342">
        <f t="shared" si="61"/>
        <v>9.3655861234875598E-2</v>
      </c>
      <c r="X342">
        <f t="shared" si="62"/>
        <v>5.7177584059521933E-2</v>
      </c>
      <c r="Y342">
        <f t="shared" si="63"/>
        <v>2.4087629599975464E-2</v>
      </c>
      <c r="Z342">
        <f>100*(P342/$T$5)</f>
        <v>1.5478547486321839E-2</v>
      </c>
      <c r="AA342">
        <f>100*(Q342/$T$6)</f>
        <v>4.3310713237191319E-3</v>
      </c>
    </row>
    <row r="343" spans="1:27" x14ac:dyDescent="0.3">
      <c r="A343">
        <v>8184</v>
      </c>
      <c r="B343">
        <v>8659384.3542202804</v>
      </c>
      <c r="C343">
        <v>54440792.371243499</v>
      </c>
      <c r="D343">
        <v>61950964.090157501</v>
      </c>
      <c r="E343">
        <v>36130183.299887396</v>
      </c>
      <c r="F343">
        <v>53635949.2530405</v>
      </c>
      <c r="G343">
        <v>35518378.721392699</v>
      </c>
      <c r="H343">
        <v>33964702.429978698</v>
      </c>
      <c r="J343">
        <f t="shared" si="64"/>
        <v>341</v>
      </c>
      <c r="K343">
        <f t="shared" si="65"/>
        <v>5.7883585255483157E-5</v>
      </c>
      <c r="L343">
        <f t="shared" si="66"/>
        <v>3.6390903991472928E-4</v>
      </c>
      <c r="M343">
        <f t="shared" si="67"/>
        <v>4.1411072252779078E-4</v>
      </c>
      <c r="N343">
        <f t="shared" si="68"/>
        <v>2.4151192045379275E-4</v>
      </c>
      <c r="O343">
        <f t="shared" si="69"/>
        <v>3.5852907254706217E-4</v>
      </c>
      <c r="P343">
        <f t="shared" si="70"/>
        <v>2.374223176563683E-4</v>
      </c>
      <c r="Q343">
        <f t="shared" si="71"/>
        <v>2.2703678094905546E-4</v>
      </c>
      <c r="V343">
        <f t="shared" si="72"/>
        <v>341</v>
      </c>
      <c r="W343">
        <f t="shared" si="61"/>
        <v>9.4033343647216869E-2</v>
      </c>
      <c r="X343">
        <f t="shared" si="62"/>
        <v>5.7276725107578252E-2</v>
      </c>
      <c r="Y343">
        <f t="shared" si="63"/>
        <v>2.4151192045379275E-2</v>
      </c>
      <c r="Z343">
        <f>100*(P343/$T$5)</f>
        <v>1.5578892234669836E-2</v>
      </c>
      <c r="AA343">
        <f>100*(Q343/$T$6)</f>
        <v>4.3627359905660159E-3</v>
      </c>
    </row>
    <row r="344" spans="1:27" x14ac:dyDescent="0.3">
      <c r="A344">
        <v>8208</v>
      </c>
      <c r="B344">
        <v>8710396.6443063505</v>
      </c>
      <c r="C344">
        <v>54732829.0675335</v>
      </c>
      <c r="D344">
        <v>62055221.060835697</v>
      </c>
      <c r="E344">
        <v>36236307.730796598</v>
      </c>
      <c r="F344">
        <v>50718191.991999403</v>
      </c>
      <c r="G344">
        <v>35748012.808045</v>
      </c>
      <c r="H344">
        <v>34103715.7002424</v>
      </c>
      <c r="J344">
        <f t="shared" si="64"/>
        <v>342</v>
      </c>
      <c r="K344">
        <f t="shared" si="65"/>
        <v>5.8224576499373999E-5</v>
      </c>
      <c r="L344">
        <f t="shared" si="66"/>
        <v>3.6586115686853947E-4</v>
      </c>
      <c r="M344">
        <f t="shared" si="67"/>
        <v>4.1480762741200332E-4</v>
      </c>
      <c r="N344">
        <f t="shared" si="68"/>
        <v>2.4222130836093982E-4</v>
      </c>
      <c r="O344">
        <f t="shared" si="69"/>
        <v>3.3902534754010294E-4</v>
      </c>
      <c r="P344">
        <f t="shared" si="70"/>
        <v>2.3895730486661097E-4</v>
      </c>
      <c r="Q344">
        <f t="shared" si="71"/>
        <v>2.2796601403905347E-4</v>
      </c>
      <c r="V344">
        <f t="shared" si="72"/>
        <v>342</v>
      </c>
      <c r="W344">
        <f t="shared" si="61"/>
        <v>9.4537766632697529E-2</v>
      </c>
      <c r="X344">
        <f t="shared" si="62"/>
        <v>5.7373115824620104E-2</v>
      </c>
      <c r="Y344">
        <f t="shared" si="63"/>
        <v>2.4222130836093984E-2</v>
      </c>
      <c r="Z344">
        <f>100*(P344/$T$5)</f>
        <v>1.5679613180223817E-2</v>
      </c>
      <c r="AA344">
        <f>100*(Q344/$T$6)</f>
        <v>4.3805921221954933E-3</v>
      </c>
    </row>
    <row r="345" spans="1:27" x14ac:dyDescent="0.3">
      <c r="A345">
        <v>8232</v>
      </c>
      <c r="B345">
        <v>8761559.3991881609</v>
      </c>
      <c r="C345">
        <v>55100379.772837602</v>
      </c>
      <c r="D345">
        <v>62156553.331436902</v>
      </c>
      <c r="E345">
        <v>36351540.949724101</v>
      </c>
      <c r="F345">
        <v>47156474.286444597</v>
      </c>
      <c r="G345">
        <v>35978504.598836899</v>
      </c>
      <c r="H345">
        <v>34199839.175740398</v>
      </c>
      <c r="J345">
        <f t="shared" si="64"/>
        <v>343</v>
      </c>
      <c r="K345">
        <f t="shared" si="65"/>
        <v>5.8566573523985032E-5</v>
      </c>
      <c r="L345">
        <f t="shared" si="66"/>
        <v>3.68318046609877E-4</v>
      </c>
      <c r="M345">
        <f t="shared" si="67"/>
        <v>4.1548498216201137E-4</v>
      </c>
      <c r="N345">
        <f t="shared" si="68"/>
        <v>2.4299158388853007E-4</v>
      </c>
      <c r="O345">
        <f t="shared" si="69"/>
        <v>3.1521707410724997E-4</v>
      </c>
      <c r="P345">
        <f t="shared" si="70"/>
        <v>2.4049802539329477E-4</v>
      </c>
      <c r="Q345">
        <f t="shared" si="71"/>
        <v>2.2860855063997593E-4</v>
      </c>
      <c r="V345">
        <f t="shared" si="72"/>
        <v>343</v>
      </c>
      <c r="W345">
        <f t="shared" si="61"/>
        <v>9.5172621863017309E-2</v>
      </c>
      <c r="X345">
        <f t="shared" si="62"/>
        <v>5.7466802512034773E-2</v>
      </c>
      <c r="Y345">
        <f t="shared" si="63"/>
        <v>2.4299158388853007E-2</v>
      </c>
      <c r="Z345">
        <f>100*(P345/$T$5)</f>
        <v>1.5780710327644012E-2</v>
      </c>
      <c r="AA345">
        <f>100*(Q345/$T$6)</f>
        <v>4.3929390976167552E-3</v>
      </c>
    </row>
    <row r="346" spans="1:27" x14ac:dyDescent="0.3">
      <c r="A346">
        <v>8256</v>
      </c>
      <c r="B346">
        <v>8812872.6190921292</v>
      </c>
      <c r="C346">
        <v>55545357.514723897</v>
      </c>
      <c r="D346">
        <v>62255016.294379704</v>
      </c>
      <c r="E346">
        <v>36473231.155792899</v>
      </c>
      <c r="F346">
        <v>42965411.921060003</v>
      </c>
      <c r="G346">
        <v>36209854.017583601</v>
      </c>
      <c r="H346">
        <v>34187313.901598901</v>
      </c>
      <c r="J346">
        <f t="shared" si="64"/>
        <v>344</v>
      </c>
      <c r="K346">
        <f t="shared" si="65"/>
        <v>5.8909576330829741E-5</v>
      </c>
      <c r="L346">
        <f t="shared" si="66"/>
        <v>3.7129249675617581E-4</v>
      </c>
      <c r="M346">
        <f t="shared" si="67"/>
        <v>4.1614315704799267E-4</v>
      </c>
      <c r="N346">
        <f t="shared" si="68"/>
        <v>2.4380502109487231E-4</v>
      </c>
      <c r="O346">
        <f t="shared" si="69"/>
        <v>2.8720195134398395E-4</v>
      </c>
      <c r="P346">
        <f t="shared" si="70"/>
        <v>2.420444787271631E-4</v>
      </c>
      <c r="Q346">
        <f t="shared" si="71"/>
        <v>2.2852482554544718E-4</v>
      </c>
      <c r="V346">
        <f t="shared" si="72"/>
        <v>344</v>
      </c>
      <c r="W346">
        <f t="shared" si="61"/>
        <v>9.5941213632086769E-2</v>
      </c>
      <c r="X346">
        <f t="shared" si="62"/>
        <v>5.7557836382848226E-2</v>
      </c>
      <c r="Y346">
        <f t="shared" si="63"/>
        <v>2.438050210948723E-2</v>
      </c>
      <c r="Z346">
        <f>100*(P346/$T$5)</f>
        <v>1.5882183643514639E-2</v>
      </c>
      <c r="AA346">
        <f>100*(Q346/$T$6)</f>
        <v>4.3913302372299611E-3</v>
      </c>
    </row>
    <row r="347" spans="1:27" x14ac:dyDescent="0.3">
      <c r="A347">
        <v>8280</v>
      </c>
      <c r="B347">
        <v>8864336.3040731102</v>
      </c>
      <c r="C347">
        <v>56069552.614764303</v>
      </c>
      <c r="D347">
        <v>62350670.678421497</v>
      </c>
      <c r="E347">
        <v>36597990.5072762</v>
      </c>
      <c r="F347">
        <v>38182919.581119798</v>
      </c>
      <c r="G347">
        <v>36442061.009957299</v>
      </c>
      <c r="H347">
        <v>34229794.551313698</v>
      </c>
      <c r="J347">
        <f t="shared" si="64"/>
        <v>345</v>
      </c>
      <c r="K347">
        <f t="shared" si="65"/>
        <v>5.9253584920274803E-5</v>
      </c>
      <c r="L347">
        <f t="shared" si="66"/>
        <v>3.7479647469762235E-4</v>
      </c>
      <c r="M347">
        <f t="shared" si="67"/>
        <v>4.1678255801083891E-4</v>
      </c>
      <c r="N347">
        <f t="shared" si="68"/>
        <v>2.4463897397911897E-4</v>
      </c>
      <c r="O347">
        <f t="shared" si="69"/>
        <v>2.5523341965989169E-4</v>
      </c>
      <c r="P347">
        <f t="shared" si="70"/>
        <v>2.4359666450506214E-4</v>
      </c>
      <c r="Q347">
        <f t="shared" si="71"/>
        <v>2.2880878710771188E-4</v>
      </c>
      <c r="V347">
        <f t="shared" si="72"/>
        <v>345</v>
      </c>
      <c r="W347">
        <f t="shared" si="61"/>
        <v>9.6846634288791297E-2</v>
      </c>
      <c r="X347">
        <f t="shared" si="62"/>
        <v>5.7646273583795149E-2</v>
      </c>
      <c r="Y347">
        <f t="shared" si="63"/>
        <v>2.4463897397911896E-2</v>
      </c>
      <c r="Z347">
        <f>100*(P347/$T$5)</f>
        <v>1.5984033104006701E-2</v>
      </c>
      <c r="AA347">
        <f>100*(Q347/$T$6)</f>
        <v>4.3967868391182148E-3</v>
      </c>
    </row>
    <row r="348" spans="1:27" x14ac:dyDescent="0.3">
      <c r="A348">
        <v>8304</v>
      </c>
      <c r="B348">
        <v>8915950.4540173206</v>
      </c>
      <c r="C348">
        <v>56674619.216993101</v>
      </c>
      <c r="D348">
        <v>62443582.563378997</v>
      </c>
      <c r="E348">
        <v>36721801.540654004</v>
      </c>
      <c r="F348">
        <v>32883651.622821599</v>
      </c>
      <c r="G348">
        <v>36675125.550802298</v>
      </c>
      <c r="H348">
        <v>34293857.798964202</v>
      </c>
      <c r="J348">
        <f t="shared" si="64"/>
        <v>346</v>
      </c>
      <c r="K348">
        <f t="shared" si="65"/>
        <v>5.9598599291559629E-5</v>
      </c>
      <c r="L348">
        <f t="shared" si="66"/>
        <v>3.7884103754674532E-4</v>
      </c>
      <c r="M348">
        <f t="shared" si="67"/>
        <v>4.1740362676055481E-4</v>
      </c>
      <c r="N348">
        <f t="shared" si="68"/>
        <v>2.4546658783859628E-4</v>
      </c>
      <c r="O348">
        <f t="shared" si="69"/>
        <v>2.1981050550014437E-4</v>
      </c>
      <c r="P348">
        <f t="shared" si="70"/>
        <v>2.4515458255883887E-4</v>
      </c>
      <c r="Q348">
        <f t="shared" si="71"/>
        <v>2.2923701737275536E-4</v>
      </c>
      <c r="V348">
        <f t="shared" si="72"/>
        <v>346</v>
      </c>
      <c r="W348">
        <f t="shared" si="61"/>
        <v>9.7891740968151245E-2</v>
      </c>
      <c r="X348">
        <f t="shared" si="62"/>
        <v>5.7732175208928746E-2</v>
      </c>
      <c r="Y348">
        <f t="shared" si="63"/>
        <v>2.4546658783859629E-2</v>
      </c>
      <c r="Z348">
        <f>100*(P348/$T$5)</f>
        <v>1.6086258698086539E-2</v>
      </c>
      <c r="AA348">
        <f>100*(Q348/$T$6)</f>
        <v>4.4050157066248151E-3</v>
      </c>
    </row>
    <row r="349" spans="1:27" x14ac:dyDescent="0.3">
      <c r="A349">
        <v>8328</v>
      </c>
      <c r="B349">
        <v>8967715.0686411299</v>
      </c>
      <c r="C349">
        <v>57362062.300079301</v>
      </c>
      <c r="D349">
        <v>62533823.390275098</v>
      </c>
      <c r="E349">
        <v>36840306.025465697</v>
      </c>
      <c r="F349">
        <v>27200120.125878301</v>
      </c>
      <c r="G349">
        <v>36909047.509438299</v>
      </c>
      <c r="H349">
        <v>34358828.761025697</v>
      </c>
      <c r="J349">
        <f t="shared" si="64"/>
        <v>347</v>
      </c>
      <c r="K349">
        <f t="shared" si="65"/>
        <v>5.9944619442788303E-5</v>
      </c>
      <c r="L349">
        <f t="shared" si="66"/>
        <v>3.8343624532138568E-4</v>
      </c>
      <c r="M349">
        <f t="shared" si="67"/>
        <v>4.1800684084408491E-4</v>
      </c>
      <c r="N349">
        <f t="shared" si="68"/>
        <v>2.462587301167493E-4</v>
      </c>
      <c r="O349">
        <f t="shared" si="69"/>
        <v>1.8181898479865174E-4</v>
      </c>
      <c r="P349">
        <f t="shared" si="70"/>
        <v>2.4671823201496187E-4</v>
      </c>
      <c r="Q349">
        <f t="shared" si="71"/>
        <v>2.2967131524749798E-4</v>
      </c>
      <c r="V349">
        <f t="shared" si="72"/>
        <v>347</v>
      </c>
      <c r="W349">
        <f t="shared" si="61"/>
        <v>9.9079133157980781E-2</v>
      </c>
      <c r="X349">
        <f t="shared" si="62"/>
        <v>5.7815607309002058E-2</v>
      </c>
      <c r="Y349">
        <f t="shared" si="63"/>
        <v>2.4625873011674931E-2</v>
      </c>
      <c r="Z349">
        <f>100*(P349/$T$5)</f>
        <v>1.6188860368435819E-2</v>
      </c>
      <c r="AA349">
        <f>100*(Q349/$T$6)</f>
        <v>4.4133611692447729E-3</v>
      </c>
    </row>
    <row r="350" spans="1:27" x14ac:dyDescent="0.3">
      <c r="A350">
        <v>8352</v>
      </c>
      <c r="B350">
        <v>9019630.1474815104</v>
      </c>
      <c r="C350">
        <v>58133224.708308101</v>
      </c>
      <c r="D350">
        <v>62621469.962728798</v>
      </c>
      <c r="E350">
        <v>36949294.815501399</v>
      </c>
      <c r="F350">
        <v>21364265.100322101</v>
      </c>
      <c r="G350">
        <v>37143826.535062902</v>
      </c>
      <c r="H350">
        <v>34553787.193871602</v>
      </c>
      <c r="J350">
        <f t="shared" si="64"/>
        <v>348</v>
      </c>
      <c r="K350">
        <f t="shared" si="65"/>
        <v>6.0291645370865712E-5</v>
      </c>
      <c r="L350">
        <f t="shared" si="66"/>
        <v>3.8859107425339638E-4</v>
      </c>
      <c r="M350">
        <f t="shared" si="67"/>
        <v>4.1859271365460429E-4</v>
      </c>
      <c r="N350">
        <f t="shared" si="68"/>
        <v>2.4698726480950131E-4</v>
      </c>
      <c r="O350">
        <f t="shared" si="69"/>
        <v>1.4280925869199267E-4</v>
      </c>
      <c r="P350">
        <f t="shared" si="70"/>
        <v>2.4828761052849536E-4</v>
      </c>
      <c r="Q350">
        <f t="shared" si="71"/>
        <v>2.3097451332801874E-4</v>
      </c>
      <c r="V350">
        <f t="shared" si="72"/>
        <v>348</v>
      </c>
      <c r="W350">
        <f t="shared" si="61"/>
        <v>0.10041113029803524</v>
      </c>
      <c r="X350">
        <f t="shared" si="62"/>
        <v>5.7896640892753017E-2</v>
      </c>
      <c r="Y350">
        <f t="shared" si="63"/>
        <v>2.4698726480950131E-2</v>
      </c>
      <c r="Z350">
        <f>100*(P350/$T$5)</f>
        <v>1.6291837961187359E-2</v>
      </c>
      <c r="AA350">
        <f>100*(Q350/$T$6)</f>
        <v>4.4384034075330269E-3</v>
      </c>
    </row>
    <row r="351" spans="1:27" x14ac:dyDescent="0.3">
      <c r="A351">
        <v>8376</v>
      </c>
      <c r="B351">
        <v>9071695.6899120007</v>
      </c>
      <c r="C351">
        <v>58989273.504874699</v>
      </c>
      <c r="D351">
        <v>62706604.4405756</v>
      </c>
      <c r="E351">
        <v>37045318.802082203</v>
      </c>
      <c r="F351">
        <v>15821638.410964999</v>
      </c>
      <c r="G351">
        <v>37379462.136435397</v>
      </c>
      <c r="H351">
        <v>34686227.190018497</v>
      </c>
      <c r="J351">
        <f t="shared" si="64"/>
        <v>349</v>
      </c>
      <c r="K351">
        <f t="shared" si="65"/>
        <v>6.0639677071604281E-5</v>
      </c>
      <c r="L351">
        <f t="shared" si="66"/>
        <v>3.9431332556734422E-4</v>
      </c>
      <c r="M351">
        <f t="shared" si="67"/>
        <v>4.1916179438887432E-4</v>
      </c>
      <c r="N351">
        <f t="shared" si="68"/>
        <v>2.4762913637755484E-4</v>
      </c>
      <c r="O351">
        <f t="shared" si="69"/>
        <v>1.0575961504655748E-4</v>
      </c>
      <c r="P351">
        <f t="shared" si="70"/>
        <v>2.4986271481574463E-4</v>
      </c>
      <c r="Q351">
        <f t="shared" si="71"/>
        <v>2.3185980741990974E-4</v>
      </c>
      <c r="V351">
        <f t="shared" si="72"/>
        <v>349</v>
      </c>
      <c r="W351">
        <f t="shared" si="61"/>
        <v>0.10188974820861607</v>
      </c>
      <c r="X351">
        <f t="shared" si="62"/>
        <v>5.7975351921006134E-2</v>
      </c>
      <c r="Y351">
        <f t="shared" si="63"/>
        <v>2.4762913637755485E-2</v>
      </c>
      <c r="Z351">
        <f>100*(P351/$T$5)</f>
        <v>1.6395191260875634E-2</v>
      </c>
      <c r="AA351">
        <f>100*(Q351/$T$6)</f>
        <v>4.4554152079152526E-3</v>
      </c>
    </row>
    <row r="352" spans="1:27" x14ac:dyDescent="0.3">
      <c r="A352">
        <v>8400</v>
      </c>
      <c r="B352">
        <v>9123911.6951341908</v>
      </c>
      <c r="C352">
        <v>59931184.725768603</v>
      </c>
      <c r="D352">
        <v>62789314.3263871</v>
      </c>
      <c r="E352">
        <v>37126238.863476001</v>
      </c>
      <c r="F352">
        <v>11584076.686873101</v>
      </c>
      <c r="G352">
        <v>37615953.859376498</v>
      </c>
      <c r="H352">
        <v>34812591.081916504</v>
      </c>
      <c r="J352">
        <f t="shared" si="64"/>
        <v>350</v>
      </c>
      <c r="K352">
        <f t="shared" si="65"/>
        <v>6.0988714539667052E-5</v>
      </c>
      <c r="L352">
        <f t="shared" si="66"/>
        <v>4.0060952356797192E-4</v>
      </c>
      <c r="M352">
        <f t="shared" si="67"/>
        <v>4.1971466795713303E-4</v>
      </c>
      <c r="N352">
        <f t="shared" si="68"/>
        <v>2.4817004587885028E-4</v>
      </c>
      <c r="O352">
        <f t="shared" si="69"/>
        <v>7.7433667693002005E-5</v>
      </c>
      <c r="P352">
        <f t="shared" si="70"/>
        <v>2.5144354184075197E-4</v>
      </c>
      <c r="Q352">
        <f t="shared" si="71"/>
        <v>2.3270448584168787E-4</v>
      </c>
      <c r="V352">
        <f t="shared" si="72"/>
        <v>350</v>
      </c>
      <c r="W352">
        <f t="shared" si="61"/>
        <v>0.10351667275658188</v>
      </c>
      <c r="X352">
        <f t="shared" si="62"/>
        <v>5.8051821294209272E-2</v>
      </c>
      <c r="Y352">
        <f t="shared" si="63"/>
        <v>2.4817004587885029E-2</v>
      </c>
      <c r="Z352">
        <f>100*(P352/$T$5)</f>
        <v>1.6498920068290811E-2</v>
      </c>
      <c r="AA352">
        <f>100*(Q352/$T$6)</f>
        <v>4.4716465380800902E-3</v>
      </c>
    </row>
    <row r="353" spans="1:27" x14ac:dyDescent="0.3">
      <c r="A353">
        <v>8424</v>
      </c>
      <c r="B353">
        <v>9176278.1621882692</v>
      </c>
      <c r="C353">
        <v>60959725.383019499</v>
      </c>
      <c r="D353">
        <v>62869692.444903001</v>
      </c>
      <c r="E353">
        <v>37191510.347082503</v>
      </c>
      <c r="F353">
        <v>10609368.063533399</v>
      </c>
      <c r="G353">
        <v>37853301.337881297</v>
      </c>
      <c r="H353">
        <v>34833795.762297899</v>
      </c>
      <c r="J353">
        <f t="shared" si="64"/>
        <v>351</v>
      </c>
      <c r="K353">
        <f t="shared" si="65"/>
        <v>6.1338757768638163E-5</v>
      </c>
      <c r="L353">
        <f t="shared" si="66"/>
        <v>4.0748479534103945E-4</v>
      </c>
      <c r="M353">
        <f t="shared" si="67"/>
        <v>4.202519548456083E-4</v>
      </c>
      <c r="N353">
        <f t="shared" si="68"/>
        <v>2.4860635258744986E-4</v>
      </c>
      <c r="O353">
        <f t="shared" si="69"/>
        <v>7.0918235718806142E-5</v>
      </c>
      <c r="P353">
        <f t="shared" si="70"/>
        <v>2.5303008915696052E-4</v>
      </c>
      <c r="Q353">
        <f t="shared" si="71"/>
        <v>2.3284622835760628E-4</v>
      </c>
      <c r="V353">
        <f t="shared" si="72"/>
        <v>351</v>
      </c>
      <c r="W353">
        <f t="shared" si="61"/>
        <v>0.10529322877029443</v>
      </c>
      <c r="X353">
        <f t="shared" si="62"/>
        <v>5.812613483341747E-2</v>
      </c>
      <c r="Y353">
        <f t="shared" si="63"/>
        <v>2.4860635258744986E-2</v>
      </c>
      <c r="Z353">
        <f>100*(P353/$T$5)</f>
        <v>1.660302422289767E-2</v>
      </c>
      <c r="AA353">
        <f>100*(Q353/$T$6)</f>
        <v>4.4743702605227953E-3</v>
      </c>
    </row>
    <row r="354" spans="1:27" x14ac:dyDescent="0.3">
      <c r="A354">
        <v>8448</v>
      </c>
      <c r="B354">
        <v>9228795.0899597201</v>
      </c>
      <c r="C354">
        <v>62075431.3381726</v>
      </c>
      <c r="D354">
        <v>62947836.907949299</v>
      </c>
      <c r="E354">
        <v>37242098.903821401</v>
      </c>
      <c r="F354">
        <v>13493769.972058101</v>
      </c>
      <c r="G354">
        <v>38091504.172734402</v>
      </c>
      <c r="H354">
        <v>34943293.038084596</v>
      </c>
      <c r="J354">
        <f t="shared" si="64"/>
        <v>352</v>
      </c>
      <c r="K354">
        <f t="shared" si="65"/>
        <v>6.1689806751067655E-5</v>
      </c>
      <c r="L354">
        <f t="shared" si="66"/>
        <v>4.1494272284874734E-4</v>
      </c>
      <c r="M354">
        <f t="shared" si="67"/>
        <v>4.2077431088201404E-4</v>
      </c>
      <c r="N354">
        <f t="shared" si="68"/>
        <v>2.4894451138918048E-4</v>
      </c>
      <c r="O354">
        <f t="shared" si="69"/>
        <v>9.0198997139425804E-5</v>
      </c>
      <c r="P354">
        <f t="shared" si="70"/>
        <v>2.5462235409581818E-4</v>
      </c>
      <c r="Q354">
        <f t="shared" si="71"/>
        <v>2.3357816201928207E-4</v>
      </c>
      <c r="V354">
        <f t="shared" si="72"/>
        <v>352</v>
      </c>
      <c r="W354">
        <f t="shared" si="61"/>
        <v>0.10722034182138174</v>
      </c>
      <c r="X354">
        <f t="shared" si="62"/>
        <v>5.8198383247858095E-2</v>
      </c>
      <c r="Y354">
        <f t="shared" si="63"/>
        <v>2.4894451138918049E-2</v>
      </c>
      <c r="Z354">
        <f>100*(P354/$T$5)</f>
        <v>1.6707503549594369E-2</v>
      </c>
      <c r="AA354">
        <f>100*(Q354/$T$6)</f>
        <v>4.488435088764068E-3</v>
      </c>
    </row>
    <row r="355" spans="1:27" x14ac:dyDescent="0.3">
      <c r="A355">
        <v>8472</v>
      </c>
      <c r="B355">
        <v>9281462.4772021994</v>
      </c>
      <c r="C355">
        <v>63278579.454020299</v>
      </c>
      <c r="D355">
        <v>63023851.080209099</v>
      </c>
      <c r="E355">
        <v>37280090.8337515</v>
      </c>
      <c r="F355">
        <v>18258830.669199102</v>
      </c>
      <c r="G355">
        <v>38330561.795273997</v>
      </c>
      <c r="H355">
        <v>35068279.315044999</v>
      </c>
      <c r="J355">
        <f t="shared" si="64"/>
        <v>353</v>
      </c>
      <c r="K355">
        <f t="shared" si="65"/>
        <v>6.2041861478624328E-5</v>
      </c>
      <c r="L355">
        <f t="shared" si="66"/>
        <v>4.2298515677821055E-4</v>
      </c>
      <c r="M355">
        <f t="shared" si="67"/>
        <v>4.2128242700674532E-4</v>
      </c>
      <c r="N355">
        <f t="shared" si="68"/>
        <v>2.4919846814005012E-4</v>
      </c>
      <c r="O355">
        <f t="shared" si="69"/>
        <v>1.2205100714705282E-4</v>
      </c>
      <c r="P355">
        <f t="shared" si="70"/>
        <v>2.5622033285610963E-4</v>
      </c>
      <c r="Q355">
        <f t="shared" si="71"/>
        <v>2.3441363178506016E-4</v>
      </c>
      <c r="V355">
        <f t="shared" si="72"/>
        <v>353</v>
      </c>
      <c r="W355">
        <f t="shared" si="61"/>
        <v>0.10929849012356861</v>
      </c>
      <c r="X355">
        <f t="shared" si="62"/>
        <v>5.8268662103284276E-2</v>
      </c>
      <c r="Y355">
        <f t="shared" si="63"/>
        <v>2.4919846814005012E-2</v>
      </c>
      <c r="Z355">
        <f>100*(P355/$T$5)</f>
        <v>1.6812357798957324E-2</v>
      </c>
      <c r="AA355">
        <f>100*(Q355/$T$6)</f>
        <v>4.5044894655084586E-3</v>
      </c>
    </row>
    <row r="356" spans="1:27" x14ac:dyDescent="0.3">
      <c r="A356">
        <v>8496</v>
      </c>
      <c r="B356">
        <v>9334280.3225163799</v>
      </c>
      <c r="C356">
        <v>64569152.236624703</v>
      </c>
      <c r="D356">
        <v>63097843.5297153</v>
      </c>
      <c r="E356">
        <v>37308176.555493198</v>
      </c>
      <c r="F356">
        <v>23528846.125488602</v>
      </c>
      <c r="G356">
        <v>38570473.482812598</v>
      </c>
      <c r="H356">
        <v>35212122.3271081</v>
      </c>
      <c r="J356">
        <f t="shared" si="64"/>
        <v>354</v>
      </c>
      <c r="K356">
        <f t="shared" si="65"/>
        <v>6.2394921941954406E-5</v>
      </c>
      <c r="L356">
        <f t="shared" si="66"/>
        <v>4.316119801913416E-4</v>
      </c>
      <c r="M356">
        <f t="shared" si="67"/>
        <v>4.2177702894194717E-4</v>
      </c>
      <c r="N356">
        <f t="shared" si="68"/>
        <v>2.49386206921746E-4</v>
      </c>
      <c r="O356">
        <f t="shared" si="69"/>
        <v>1.5727838319176872E-4</v>
      </c>
      <c r="P356">
        <f t="shared" si="70"/>
        <v>2.5782402060703607E-4</v>
      </c>
      <c r="Q356">
        <f t="shared" si="71"/>
        <v>2.35375149245375E-4</v>
      </c>
      <c r="V356">
        <f t="shared" si="72"/>
        <v>354</v>
      </c>
      <c r="W356">
        <f t="shared" si="61"/>
        <v>0.11152764346029499</v>
      </c>
      <c r="X356">
        <f t="shared" si="62"/>
        <v>5.8337071776202933E-2</v>
      </c>
      <c r="Y356">
        <f t="shared" si="63"/>
        <v>2.4938620692174601E-2</v>
      </c>
      <c r="Z356">
        <f>100*(P356/$T$5)</f>
        <v>1.6917586654004994E-2</v>
      </c>
      <c r="AA356">
        <f>100*(Q356/$T$6)</f>
        <v>4.522965973200903E-3</v>
      </c>
    </row>
    <row r="357" spans="1:27" x14ac:dyDescent="0.3">
      <c r="A357">
        <v>8520</v>
      </c>
      <c r="B357">
        <v>9387248.6244441904</v>
      </c>
      <c r="C357">
        <v>65946793.013100103</v>
      </c>
      <c r="D357">
        <v>63169927.967361301</v>
      </c>
      <c r="E357">
        <v>37329187.638160303</v>
      </c>
      <c r="F357">
        <v>28787516.0673481</v>
      </c>
      <c r="G357">
        <v>38811238.464778401</v>
      </c>
      <c r="H357">
        <v>35464371.278053999</v>
      </c>
      <c r="J357">
        <f t="shared" si="64"/>
        <v>355</v>
      </c>
      <c r="K357">
        <f t="shared" si="65"/>
        <v>6.2748988131311437E-5</v>
      </c>
      <c r="L357">
        <f t="shared" si="66"/>
        <v>4.4082080891109693E-4</v>
      </c>
      <c r="M357">
        <f t="shared" si="67"/>
        <v>4.2225887678717445E-4</v>
      </c>
      <c r="N357">
        <f t="shared" si="68"/>
        <v>2.4952665533529614E-4</v>
      </c>
      <c r="O357">
        <f t="shared" si="69"/>
        <v>1.924299202362841E-4</v>
      </c>
      <c r="P357">
        <f t="shared" si="70"/>
        <v>2.594334121977166E-4</v>
      </c>
      <c r="Q357">
        <f t="shared" si="71"/>
        <v>2.3706130533458555E-4</v>
      </c>
      <c r="V357">
        <f t="shared" si="72"/>
        <v>355</v>
      </c>
      <c r="W357">
        <f t="shared" si="61"/>
        <v>0.11390718576514132</v>
      </c>
      <c r="X357">
        <f t="shared" si="62"/>
        <v>5.8403717397949438E-2</v>
      </c>
      <c r="Y357">
        <f t="shared" si="63"/>
        <v>2.4952665533529615E-2</v>
      </c>
      <c r="Z357">
        <f>100*(P357/$T$5)</f>
        <v>1.7023189776753059E-2</v>
      </c>
      <c r="AA357">
        <f>100*(Q357/$T$6)</f>
        <v>4.5553671278744344E-3</v>
      </c>
    </row>
    <row r="358" spans="1:27" x14ac:dyDescent="0.3">
      <c r="A358">
        <v>8544</v>
      </c>
      <c r="B358">
        <v>9440367.3814459108</v>
      </c>
      <c r="C358">
        <v>67410749.563973397</v>
      </c>
      <c r="D358">
        <v>63240223.186372802</v>
      </c>
      <c r="E358">
        <v>37345789.031797901</v>
      </c>
      <c r="F358">
        <v>33839287.170934901</v>
      </c>
      <c r="G358">
        <v>39052855.942761302</v>
      </c>
      <c r="H358">
        <v>35658990.672807798</v>
      </c>
      <c r="J358">
        <f t="shared" si="64"/>
        <v>356</v>
      </c>
      <c r="K358">
        <f t="shared" si="65"/>
        <v>6.3104060036403147E-5</v>
      </c>
      <c r="L358">
        <f t="shared" si="66"/>
        <v>4.5060661473244251E-4</v>
      </c>
      <c r="M358">
        <f t="shared" si="67"/>
        <v>4.2272876461479144E-4</v>
      </c>
      <c r="N358">
        <f t="shared" si="68"/>
        <v>2.4963762721790043E-4</v>
      </c>
      <c r="O358">
        <f t="shared" si="69"/>
        <v>2.2619844365598195E-4</v>
      </c>
      <c r="P358">
        <f t="shared" si="70"/>
        <v>2.6104850229118515E-4</v>
      </c>
      <c r="Q358">
        <f t="shared" si="71"/>
        <v>2.3836223711769919E-4</v>
      </c>
      <c r="V358">
        <f t="shared" si="72"/>
        <v>356</v>
      </c>
      <c r="W358">
        <f t="shared" si="61"/>
        <v>0.11643581776032107</v>
      </c>
      <c r="X358">
        <f t="shared" si="62"/>
        <v>5.8468708798726336E-2</v>
      </c>
      <c r="Y358">
        <f t="shared" si="63"/>
        <v>2.4963762721790041E-2</v>
      </c>
      <c r="Z358">
        <f>100*(P358/$T$5)</f>
        <v>1.7129166817006901E-2</v>
      </c>
      <c r="AA358">
        <f>100*(Q358/$T$6)</f>
        <v>4.5803658170195851E-3</v>
      </c>
    </row>
    <row r="359" spans="1:27" x14ac:dyDescent="0.3">
      <c r="A359">
        <v>8568</v>
      </c>
      <c r="B359">
        <v>9493636.5919577908</v>
      </c>
      <c r="C359">
        <v>68959804.0684838</v>
      </c>
      <c r="D359">
        <v>63308852.979416102</v>
      </c>
      <c r="E359">
        <v>37360340.489834197</v>
      </c>
      <c r="F359">
        <v>38603140.716049001</v>
      </c>
      <c r="G359">
        <v>39295325.008051701</v>
      </c>
      <c r="H359">
        <v>35827947.729734004</v>
      </c>
      <c r="J359">
        <f t="shared" si="64"/>
        <v>357</v>
      </c>
      <c r="K359">
        <f t="shared" si="65"/>
        <v>6.3460137646776673E-5</v>
      </c>
      <c r="L359">
        <f t="shared" si="66"/>
        <v>4.6096125714227136E-4</v>
      </c>
      <c r="M359">
        <f t="shared" si="67"/>
        <v>4.2318751991588302E-4</v>
      </c>
      <c r="N359">
        <f t="shared" si="68"/>
        <v>2.4973489632242112E-4</v>
      </c>
      <c r="O359">
        <f t="shared" si="69"/>
        <v>2.5804238446556821E-4</v>
      </c>
      <c r="P359">
        <f t="shared" si="70"/>
        <v>2.6266928481317981E-4</v>
      </c>
      <c r="Q359">
        <f t="shared" si="71"/>
        <v>2.3949162920945189E-4</v>
      </c>
      <c r="V359">
        <f t="shared" si="72"/>
        <v>357</v>
      </c>
      <c r="W359">
        <f t="shared" si="61"/>
        <v>0.11911143595407529</v>
      </c>
      <c r="X359">
        <f t="shared" si="62"/>
        <v>5.8532160430965839E-2</v>
      </c>
      <c r="Y359">
        <f t="shared" si="63"/>
        <v>2.4973489632242111E-2</v>
      </c>
      <c r="Z359">
        <f>100*(P359/$T$5)</f>
        <v>1.7235517376192902E-2</v>
      </c>
      <c r="AA359">
        <f>100*(Q359/$T$6)</f>
        <v>4.6020682015651786E-3</v>
      </c>
    </row>
    <row r="360" spans="1:27" x14ac:dyDescent="0.3">
      <c r="A360">
        <v>8592</v>
      </c>
      <c r="B360">
        <v>9547056.2544708103</v>
      </c>
      <c r="C360">
        <v>70592187.264638603</v>
      </c>
      <c r="D360">
        <v>63375946.057220303</v>
      </c>
      <c r="E360">
        <v>37374888.929189801</v>
      </c>
      <c r="F360">
        <v>43042184.916204199</v>
      </c>
      <c r="G360">
        <v>39538644.616293602</v>
      </c>
      <c r="H360">
        <v>35845546.131893598</v>
      </c>
      <c r="J360">
        <f t="shared" si="64"/>
        <v>358</v>
      </c>
      <c r="K360">
        <f t="shared" si="65"/>
        <v>6.3817220952344992E-5</v>
      </c>
      <c r="L360">
        <f t="shared" si="66"/>
        <v>4.7187290952298533E-4</v>
      </c>
      <c r="M360">
        <f t="shared" si="67"/>
        <v>4.2363600305628544E-4</v>
      </c>
      <c r="N360">
        <f t="shared" si="68"/>
        <v>2.4983214524859491E-4</v>
      </c>
      <c r="O360">
        <f t="shared" si="69"/>
        <v>2.8771513981419919E-4</v>
      </c>
      <c r="P360">
        <f t="shared" si="70"/>
        <v>2.6429575278271122E-4</v>
      </c>
      <c r="Q360">
        <f t="shared" si="71"/>
        <v>2.3960926558752404E-4</v>
      </c>
      <c r="V360">
        <f t="shared" si="72"/>
        <v>358</v>
      </c>
      <c r="W360">
        <f t="shared" si="61"/>
        <v>0.12193098437286443</v>
      </c>
      <c r="X360">
        <f t="shared" si="62"/>
        <v>5.8594191294092046E-2</v>
      </c>
      <c r="Y360">
        <f t="shared" si="63"/>
        <v>2.4983214524859489E-2</v>
      </c>
      <c r="Z360">
        <f>100*(P360/$T$5)</f>
        <v>1.7342240996240894E-2</v>
      </c>
      <c r="AA360">
        <f>100*(Q360/$T$6)</f>
        <v>4.6043287007594934E-3</v>
      </c>
    </row>
    <row r="361" spans="1:27" x14ac:dyDescent="0.3">
      <c r="A361">
        <v>8616</v>
      </c>
      <c r="B361">
        <v>9600626.3676104899</v>
      </c>
      <c r="C361">
        <v>72305474.907365099</v>
      </c>
      <c r="D361">
        <v>63441635.950782403</v>
      </c>
      <c r="E361">
        <v>37391239.315169901</v>
      </c>
      <c r="F361">
        <v>47135081.926166497</v>
      </c>
      <c r="G361">
        <v>39782813.6964904</v>
      </c>
      <c r="H361">
        <v>35930391.496575102</v>
      </c>
      <c r="J361">
        <f t="shared" si="64"/>
        <v>359</v>
      </c>
      <c r="K361">
        <f t="shared" si="65"/>
        <v>6.4175309943920384E-5</v>
      </c>
      <c r="L361">
        <f t="shared" si="66"/>
        <v>4.8332536702784155E-4</v>
      </c>
      <c r="M361">
        <f t="shared" si="67"/>
        <v>4.2407510662287703E-4</v>
      </c>
      <c r="N361">
        <f t="shared" si="68"/>
        <v>2.4994143927252607E-4</v>
      </c>
      <c r="O361">
        <f t="shared" si="69"/>
        <v>3.1507407704656752E-4</v>
      </c>
      <c r="P361">
        <f t="shared" si="70"/>
        <v>2.6592789904071124E-4</v>
      </c>
      <c r="Q361">
        <f t="shared" si="71"/>
        <v>2.4017641374715978E-4</v>
      </c>
      <c r="V361">
        <f t="shared" si="72"/>
        <v>359</v>
      </c>
      <c r="W361">
        <f t="shared" si="61"/>
        <v>0.12489027571778852</v>
      </c>
      <c r="X361">
        <f t="shared" si="62"/>
        <v>5.8654924844104707E-2</v>
      </c>
      <c r="Y361">
        <f t="shared" si="63"/>
        <v>2.4994143927252608E-2</v>
      </c>
      <c r="Z361">
        <f>100*(P361/$T$5)</f>
        <v>1.7449337207395752E-2</v>
      </c>
      <c r="AA361">
        <f>100*(Q361/$T$6)</f>
        <v>4.6152270128201342E-3</v>
      </c>
    </row>
    <row r="362" spans="1:27" x14ac:dyDescent="0.3">
      <c r="A362">
        <v>8640</v>
      </c>
      <c r="B362">
        <v>9654346.9302165899</v>
      </c>
      <c r="C362">
        <v>74096465.040648997</v>
      </c>
      <c r="D362">
        <v>63506060.904134497</v>
      </c>
      <c r="E362">
        <v>37411058.706477597</v>
      </c>
      <c r="F362">
        <v>50862431.510784999</v>
      </c>
      <c r="G362">
        <v>40027831.234440401</v>
      </c>
      <c r="H362">
        <v>35987658.509945802</v>
      </c>
      <c r="J362">
        <f t="shared" si="64"/>
        <v>360</v>
      </c>
      <c r="K362">
        <f t="shared" si="65"/>
        <v>6.4534404613747254E-5</v>
      </c>
      <c r="L362">
        <f t="shared" si="66"/>
        <v>4.9529722620754674E-4</v>
      </c>
      <c r="M362">
        <f t="shared" si="67"/>
        <v>4.2450575470678138E-4</v>
      </c>
      <c r="N362">
        <f t="shared" si="68"/>
        <v>2.5007392183474332E-4</v>
      </c>
      <c r="O362">
        <f t="shared" si="69"/>
        <v>3.3998951544642378E-4</v>
      </c>
      <c r="P362">
        <f t="shared" si="70"/>
        <v>2.675657168077567E-4</v>
      </c>
      <c r="Q362">
        <f t="shared" si="71"/>
        <v>2.4055921463867516E-4</v>
      </c>
      <c r="V362">
        <f t="shared" si="72"/>
        <v>360</v>
      </c>
      <c r="W362">
        <f t="shared" si="61"/>
        <v>0.12798377938179503</v>
      </c>
      <c r="X362">
        <f t="shared" si="62"/>
        <v>5.8714488894437263E-2</v>
      </c>
      <c r="Y362">
        <f t="shared" si="63"/>
        <v>2.5007392183474333E-2</v>
      </c>
      <c r="Z362">
        <f>100*(P362/$T$5)</f>
        <v>1.755680556481343E-2</v>
      </c>
      <c r="AA362">
        <f>100*(Q362/$T$6)</f>
        <v>4.6225829100437193E-3</v>
      </c>
    </row>
    <row r="363" spans="1:27" x14ac:dyDescent="0.3">
      <c r="A363">
        <v>8664</v>
      </c>
      <c r="B363">
        <v>9708217.9414639305</v>
      </c>
      <c r="C363">
        <v>75961035.316546395</v>
      </c>
      <c r="D363">
        <v>63569363.758732103</v>
      </c>
      <c r="E363">
        <v>37435980.264161803</v>
      </c>
      <c r="F363">
        <v>54199757.7356399</v>
      </c>
      <c r="G363">
        <v>40273696.168370202</v>
      </c>
      <c r="H363">
        <v>36063849.5760855</v>
      </c>
      <c r="J363">
        <f t="shared" si="64"/>
        <v>361</v>
      </c>
      <c r="K363">
        <f t="shared" si="65"/>
        <v>6.4894504956309695E-5</v>
      </c>
      <c r="L363">
        <f t="shared" si="66"/>
        <v>5.0776093126033686E-4</v>
      </c>
      <c r="M363">
        <f t="shared" si="67"/>
        <v>4.2492890213056218E-4</v>
      </c>
      <c r="N363">
        <f t="shared" si="68"/>
        <v>2.5024050978717785E-4</v>
      </c>
      <c r="O363">
        <f t="shared" si="69"/>
        <v>3.6229784582646993E-4</v>
      </c>
      <c r="P363">
        <f t="shared" si="70"/>
        <v>2.6920919898643184E-4</v>
      </c>
      <c r="Q363">
        <f t="shared" si="71"/>
        <v>2.4106851320912766E-4</v>
      </c>
      <c r="V363">
        <f t="shared" si="72"/>
        <v>361</v>
      </c>
      <c r="W363">
        <f t="shared" si="61"/>
        <v>0.13120437500267101</v>
      </c>
      <c r="X363">
        <f t="shared" si="62"/>
        <v>5.8773015509068084E-2</v>
      </c>
      <c r="Y363">
        <f t="shared" si="63"/>
        <v>2.5024050978717786E-2</v>
      </c>
      <c r="Z363">
        <f>100*(P363/$T$5)</f>
        <v>1.7664645602784242E-2</v>
      </c>
      <c r="AA363">
        <f>100*(Q363/$T$6)</f>
        <v>4.6323695851100627E-3</v>
      </c>
    </row>
    <row r="364" spans="1:27" x14ac:dyDescent="0.3">
      <c r="A364">
        <v>8688</v>
      </c>
      <c r="B364">
        <v>9762239.4010220505</v>
      </c>
      <c r="C364">
        <v>77893980.786024094</v>
      </c>
      <c r="D364">
        <v>63631691.824423604</v>
      </c>
      <c r="E364">
        <v>37467683.410039097</v>
      </c>
      <c r="F364">
        <v>57114136.825239196</v>
      </c>
      <c r="G364">
        <v>40520407.213618897</v>
      </c>
      <c r="H364">
        <v>36223179.010491699</v>
      </c>
      <c r="J364">
        <f t="shared" si="64"/>
        <v>362</v>
      </c>
      <c r="K364">
        <f t="shared" si="65"/>
        <v>6.5255610969398728E-5</v>
      </c>
      <c r="L364">
        <f t="shared" si="66"/>
        <v>5.2068168974615033E-4</v>
      </c>
      <c r="M364">
        <f t="shared" si="67"/>
        <v>4.2534553358571927E-4</v>
      </c>
      <c r="N364">
        <f t="shared" si="68"/>
        <v>2.5045242921149129E-4</v>
      </c>
      <c r="O364">
        <f t="shared" si="69"/>
        <v>3.8177898947352405E-4</v>
      </c>
      <c r="P364">
        <f t="shared" si="70"/>
        <v>2.7085833698943111E-4</v>
      </c>
      <c r="Q364">
        <f t="shared" si="71"/>
        <v>2.4213354953537232E-4</v>
      </c>
      <c r="V364">
        <f t="shared" si="72"/>
        <v>362</v>
      </c>
      <c r="W364">
        <f t="shared" si="61"/>
        <v>0.13454307228582693</v>
      </c>
      <c r="X364">
        <f t="shared" si="62"/>
        <v>5.8830640883225344E-2</v>
      </c>
      <c r="Y364">
        <f t="shared" si="63"/>
        <v>2.5045242921149128E-2</v>
      </c>
      <c r="Z364">
        <f>100*(P364/$T$5)</f>
        <v>1.7772856757836686E-2</v>
      </c>
      <c r="AA364">
        <f>100*(Q364/$T$6)</f>
        <v>4.6528353100571164E-3</v>
      </c>
    </row>
    <row r="365" spans="1:27" x14ac:dyDescent="0.3">
      <c r="A365">
        <v>8712</v>
      </c>
      <c r="B365">
        <v>9816411.3092526905</v>
      </c>
      <c r="C365">
        <v>79888834.331387803</v>
      </c>
      <c r="D365">
        <v>63693196.7426944</v>
      </c>
      <c r="E365">
        <v>37507931.698326699</v>
      </c>
      <c r="F365">
        <v>59563341.843970202</v>
      </c>
      <c r="G365">
        <v>40767962.848179802</v>
      </c>
      <c r="H365">
        <v>36357115.048983499</v>
      </c>
      <c r="J365">
        <f t="shared" si="64"/>
        <v>363</v>
      </c>
      <c r="K365">
        <f t="shared" si="65"/>
        <v>6.5617722655432421E-5</v>
      </c>
      <c r="L365">
        <f t="shared" si="66"/>
        <v>5.3401627226863505E-4</v>
      </c>
      <c r="M365">
        <f t="shared" si="67"/>
        <v>4.2575666271854547E-4</v>
      </c>
      <c r="N365">
        <f t="shared" si="68"/>
        <v>2.5072146857170252E-4</v>
      </c>
      <c r="O365">
        <f t="shared" si="69"/>
        <v>3.9815068077520189E-4</v>
      </c>
      <c r="P365">
        <f t="shared" si="70"/>
        <v>2.7251312064291314E-4</v>
      </c>
      <c r="Q365">
        <f t="shared" si="71"/>
        <v>2.430288439103175E-4</v>
      </c>
      <c r="V365">
        <f t="shared" si="72"/>
        <v>363</v>
      </c>
      <c r="W365">
        <f t="shared" si="61"/>
        <v>0.13798870084460854</v>
      </c>
      <c r="X365">
        <f t="shared" si="62"/>
        <v>5.8887505216949583E-2</v>
      </c>
      <c r="Y365">
        <f t="shared" si="63"/>
        <v>2.5072146857170251E-2</v>
      </c>
      <c r="Z365">
        <f>100*(P365/$T$5)</f>
        <v>1.7881438362395877E-2</v>
      </c>
      <c r="AA365">
        <f>100*(Q365/$T$6)</f>
        <v>4.6700392757555251E-3</v>
      </c>
    </row>
    <row r="366" spans="1:27" x14ac:dyDescent="0.3">
      <c r="A366">
        <v>8736</v>
      </c>
      <c r="B366">
        <v>9870733.66740839</v>
      </c>
      <c r="C366">
        <v>81937674.399653897</v>
      </c>
      <c r="D366">
        <v>63754034.337900199</v>
      </c>
      <c r="E366">
        <v>37558553.980480902</v>
      </c>
      <c r="F366">
        <v>61497065.561869703</v>
      </c>
      <c r="G366">
        <v>41016361.482216001</v>
      </c>
      <c r="H366">
        <v>36481586.034198202</v>
      </c>
      <c r="J366">
        <f t="shared" si="64"/>
        <v>364</v>
      </c>
      <c r="K366">
        <f t="shared" si="65"/>
        <v>6.598084002278335E-5</v>
      </c>
      <c r="L366">
        <f t="shared" si="66"/>
        <v>5.477117272704138E-4</v>
      </c>
      <c r="M366">
        <f t="shared" si="67"/>
        <v>4.2616333113569652E-4</v>
      </c>
      <c r="N366">
        <f t="shared" si="68"/>
        <v>2.5105985281070122E-4</v>
      </c>
      <c r="O366">
        <f t="shared" si="69"/>
        <v>4.1107664145634829E-4</v>
      </c>
      <c r="P366">
        <f t="shared" si="70"/>
        <v>2.7417353931962569E-4</v>
      </c>
      <c r="Q366">
        <f t="shared" si="71"/>
        <v>2.4386086921255484E-4</v>
      </c>
      <c r="V366">
        <f t="shared" si="72"/>
        <v>364</v>
      </c>
      <c r="W366">
        <f t="shared" si="61"/>
        <v>0.14152757810605007</v>
      </c>
      <c r="X366">
        <f t="shared" si="62"/>
        <v>5.8943752577551391E-2</v>
      </c>
      <c r="Y366">
        <f t="shared" si="63"/>
        <v>2.5105985281070123E-2</v>
      </c>
      <c r="Z366">
        <f>100*(P366/$T$5)</f>
        <v>1.7990389719135545E-2</v>
      </c>
      <c r="AA366">
        <f>100*(Q366/$T$6)</f>
        <v>4.6860274637308772E-3</v>
      </c>
    </row>
    <row r="367" spans="1:27" x14ac:dyDescent="0.3">
      <c r="A367">
        <v>8760</v>
      </c>
      <c r="B367">
        <v>9925206.4778741002</v>
      </c>
      <c r="C367">
        <v>84030928.012993902</v>
      </c>
      <c r="D367">
        <v>63814364.453751899</v>
      </c>
      <c r="E367">
        <v>37621360.809590302</v>
      </c>
      <c r="F367">
        <v>62859955.253335297</v>
      </c>
      <c r="G367">
        <v>41265601.580561399</v>
      </c>
      <c r="H367">
        <v>36465713.211092301</v>
      </c>
      <c r="J367">
        <f t="shared" si="64"/>
        <v>365</v>
      </c>
      <c r="K367">
        <f t="shared" si="65"/>
        <v>6.6344963087393717E-5</v>
      </c>
      <c r="L367">
        <f t="shared" si="66"/>
        <v>5.6170406425798066E-4</v>
      </c>
      <c r="M367">
        <f t="shared" si="67"/>
        <v>4.2656660731117582E-4</v>
      </c>
      <c r="N367">
        <f t="shared" si="68"/>
        <v>2.5147968455608492E-4</v>
      </c>
      <c r="O367">
        <f t="shared" si="69"/>
        <v>4.2018686666667979E-4</v>
      </c>
      <c r="P367">
        <f t="shared" si="70"/>
        <v>2.7583958275776338E-4</v>
      </c>
      <c r="Q367">
        <f t="shared" si="71"/>
        <v>2.4375476745382553E-4</v>
      </c>
      <c r="V367">
        <f t="shared" si="72"/>
        <v>365</v>
      </c>
      <c r="W367">
        <f t="shared" si="61"/>
        <v>0.14514316905890973</v>
      </c>
      <c r="X367">
        <f t="shared" si="62"/>
        <v>5.8999530748433719E-2</v>
      </c>
      <c r="Y367">
        <f t="shared" si="63"/>
        <v>2.5147968455608492E-2</v>
      </c>
      <c r="Z367">
        <f>100*(P367/$T$5)</f>
        <v>1.8099710154708883E-2</v>
      </c>
      <c r="AA367">
        <f>100*(Q367/$T$6)</f>
        <v>4.6839886136399982E-3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horizons_error_log2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 Meyer</dc:creator>
  <cp:lastModifiedBy>Meyer, Harris</cp:lastModifiedBy>
  <dcterms:created xsi:type="dcterms:W3CDTF">2026-10-14T17:30:04Z</dcterms:created>
  <dcterms:modified xsi:type="dcterms:W3CDTF">2026-10-14T21:53:40Z</dcterms:modified>
</cp:coreProperties>
</file>